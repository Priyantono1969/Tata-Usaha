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15990" windowHeight="5790" tabRatio="776" activeTab="2"/>
  </bookViews>
  <sheets>
    <sheet name="Lamp 1a" sheetId="2" r:id="rId1"/>
    <sheet name="Wali Kls" sheetId="5" r:id="rId2"/>
    <sheet name="Lamp 2 &amp; 3" sheetId="6" r:id="rId3"/>
    <sheet name="Lamp 4" sheetId="7" r:id="rId4"/>
    <sheet name="Jam Lgkp" sheetId="16" r:id="rId5"/>
    <sheet name="Jam" sheetId="20" r:id="rId6"/>
    <sheet name="KJM" sheetId="26" r:id="rId7"/>
    <sheet name="Lengkap" sheetId="30" r:id="rId8"/>
    <sheet name="Dapodik" sheetId="31" r:id="rId9"/>
  </sheets>
  <definedNames>
    <definedName name="_xlnm.Print_Area" localSheetId="0">'Lamp 1a'!$A$1:$M$78</definedName>
  </definedNames>
  <calcPr calcId="144525"/>
</workbook>
</file>

<file path=xl/calcChain.xml><?xml version="1.0" encoding="utf-8"?>
<calcChain xmlns="http://schemas.openxmlformats.org/spreadsheetml/2006/main">
  <c r="R94" i="31" l="1"/>
  <c r="Q94" i="31"/>
  <c r="P94" i="31"/>
  <c r="O94" i="31"/>
  <c r="N94" i="31"/>
  <c r="M94" i="31"/>
  <c r="L94" i="31"/>
  <c r="K94" i="31"/>
  <c r="J94" i="31"/>
  <c r="I94" i="31"/>
  <c r="H94" i="31"/>
  <c r="G94" i="31"/>
  <c r="S92" i="31"/>
  <c r="S87" i="31"/>
  <c r="S84" i="31"/>
  <c r="S82" i="31"/>
  <c r="S79" i="31"/>
  <c r="S74" i="31"/>
  <c r="S71" i="31"/>
  <c r="S63" i="31"/>
  <c r="S60" i="31"/>
  <c r="S57" i="31"/>
  <c r="S54" i="31"/>
  <c r="S51" i="31"/>
  <c r="S48" i="31"/>
  <c r="S45" i="31"/>
  <c r="S42" i="31"/>
  <c r="S39" i="31"/>
  <c r="S30" i="31"/>
  <c r="S27" i="31"/>
  <c r="S24" i="31"/>
  <c r="S21" i="31"/>
  <c r="S18" i="31"/>
  <c r="S15" i="31"/>
  <c r="S12" i="31"/>
  <c r="S9" i="31"/>
  <c r="S6" i="31"/>
  <c r="S94" i="31" l="1"/>
  <c r="H94" i="30"/>
  <c r="I94" i="30"/>
  <c r="J94" i="30"/>
  <c r="K94" i="30"/>
  <c r="L94" i="30"/>
  <c r="M94" i="30"/>
  <c r="N94" i="30"/>
  <c r="O94" i="30"/>
  <c r="P94" i="30"/>
  <c r="Q94" i="30"/>
  <c r="R94" i="30"/>
  <c r="G94" i="30"/>
  <c r="I19" i="2" l="1"/>
  <c r="I17" i="2"/>
  <c r="S87" i="30" l="1"/>
  <c r="S92" i="30" l="1"/>
  <c r="S85" i="30"/>
  <c r="S82" i="30"/>
  <c r="S79" i="30"/>
  <c r="S74" i="30"/>
  <c r="S71" i="30"/>
  <c r="S63" i="30"/>
  <c r="S60" i="30"/>
  <c r="S57" i="30"/>
  <c r="S54" i="30"/>
  <c r="S51" i="30"/>
  <c r="S48" i="30"/>
  <c r="S45" i="30"/>
  <c r="S42" i="30"/>
  <c r="S39" i="30"/>
  <c r="S30" i="30"/>
  <c r="S27" i="30"/>
  <c r="S24" i="30"/>
  <c r="S21" i="30"/>
  <c r="S18" i="30"/>
  <c r="S15" i="30"/>
  <c r="S12" i="30"/>
  <c r="S9" i="30"/>
  <c r="S6" i="30"/>
  <c r="S94" i="30" l="1"/>
  <c r="I23" i="2" l="1"/>
  <c r="G70" i="2"/>
  <c r="H70" i="2"/>
  <c r="F70" i="2"/>
  <c r="I64" i="2" l="1"/>
  <c r="I62" i="2"/>
  <c r="I60" i="2"/>
  <c r="I57" i="2"/>
  <c r="I68" i="2"/>
  <c r="I53" i="2"/>
  <c r="I49" i="2"/>
  <c r="I47" i="2"/>
  <c r="I45" i="2"/>
  <c r="I43" i="2"/>
  <c r="I36" i="2"/>
  <c r="I41" i="2"/>
  <c r="I39" i="2"/>
  <c r="I34" i="2"/>
  <c r="I31" i="2"/>
  <c r="I29" i="2"/>
  <c r="I27" i="2"/>
  <c r="I25" i="2"/>
  <c r="I21" i="2"/>
  <c r="I15" i="2"/>
  <c r="I13" i="2"/>
  <c r="I70" i="2" l="1"/>
  <c r="K61" i="26" l="1"/>
  <c r="I61" i="26"/>
  <c r="L61" i="26" s="1"/>
  <c r="G61" i="26"/>
  <c r="K55" i="26"/>
  <c r="I55" i="26"/>
  <c r="G55" i="26"/>
  <c r="K47" i="26"/>
  <c r="I47" i="26"/>
  <c r="L47" i="26" s="1"/>
  <c r="G47" i="26"/>
  <c r="J66" i="26"/>
  <c r="H66" i="26"/>
  <c r="K63" i="26"/>
  <c r="I63" i="26"/>
  <c r="G63" i="26"/>
  <c r="K59" i="26"/>
  <c r="I59" i="26"/>
  <c r="L59" i="26" s="1"/>
  <c r="G59" i="26"/>
  <c r="K57" i="26"/>
  <c r="I57" i="26"/>
  <c r="G57" i="26"/>
  <c r="K53" i="26"/>
  <c r="I53" i="26"/>
  <c r="L53" i="26" s="1"/>
  <c r="G53" i="26"/>
  <c r="K51" i="26"/>
  <c r="I51" i="26"/>
  <c r="G51" i="26"/>
  <c r="K49" i="26"/>
  <c r="I49" i="26"/>
  <c r="L49" i="26" s="1"/>
  <c r="G49" i="26"/>
  <c r="K45" i="26"/>
  <c r="K66" i="26" s="1"/>
  <c r="I45" i="26"/>
  <c r="G45" i="26"/>
  <c r="K43" i="26"/>
  <c r="I43" i="26"/>
  <c r="L43" i="26" s="1"/>
  <c r="G43" i="26"/>
  <c r="N21" i="16"/>
  <c r="I11" i="26"/>
  <c r="I13" i="26"/>
  <c r="I15" i="26"/>
  <c r="I17" i="26"/>
  <c r="I19" i="26"/>
  <c r="I21" i="26"/>
  <c r="I23" i="26"/>
  <c r="I9" i="26"/>
  <c r="K17" i="26"/>
  <c r="K11" i="26"/>
  <c r="K13" i="26"/>
  <c r="K15" i="26"/>
  <c r="K9" i="26"/>
  <c r="K23" i="26"/>
  <c r="G23" i="26"/>
  <c r="K21" i="26"/>
  <c r="G21" i="26"/>
  <c r="K19" i="26"/>
  <c r="L19" i="26" s="1"/>
  <c r="G19" i="26"/>
  <c r="G9" i="26"/>
  <c r="L21" i="26" l="1"/>
  <c r="L57" i="26"/>
  <c r="L51" i="26"/>
  <c r="L63" i="26"/>
  <c r="L55" i="26"/>
  <c r="I66" i="26"/>
  <c r="L45" i="26"/>
  <c r="L9" i="26"/>
  <c r="L23" i="26"/>
  <c r="L66" i="26" l="1"/>
  <c r="J21" i="16" l="1"/>
  <c r="L15" i="26"/>
  <c r="D21" i="16"/>
  <c r="C21" i="16"/>
  <c r="J25" i="26"/>
  <c r="L17" i="26" l="1"/>
  <c r="L11" i="26"/>
  <c r="L13" i="26"/>
  <c r="K25" i="26"/>
  <c r="I25" i="26"/>
  <c r="H25" i="26"/>
  <c r="G17" i="26"/>
  <c r="G15" i="26"/>
  <c r="G13" i="26"/>
  <c r="G11" i="26"/>
  <c r="G21" i="20"/>
  <c r="M21" i="16"/>
  <c r="L21" i="16"/>
  <c r="K21" i="16"/>
  <c r="F21" i="16"/>
  <c r="E21" i="20"/>
  <c r="C21" i="20"/>
  <c r="I21" i="16"/>
  <c r="H21" i="16"/>
  <c r="G21" i="16"/>
  <c r="E21" i="16"/>
  <c r="L25" i="26" l="1"/>
</calcChain>
</file>

<file path=xl/sharedStrings.xml><?xml version="1.0" encoding="utf-8"?>
<sst xmlns="http://schemas.openxmlformats.org/spreadsheetml/2006/main" count="1392" uniqueCount="497">
  <si>
    <t>PEMBAGIAN TUGAS GURU DALAM PROSES BELAJAR MENGAJAR ATAU BIMBINGAN DAN KONSELING</t>
  </si>
  <si>
    <t>No</t>
  </si>
  <si>
    <t>Kode</t>
  </si>
  <si>
    <t>NAMA / NIP</t>
  </si>
  <si>
    <t>PANGKAT /</t>
  </si>
  <si>
    <t>JENIS</t>
  </si>
  <si>
    <t>MAPEL</t>
  </si>
  <si>
    <t>JUMLAH JAM MENGAJAR</t>
  </si>
  <si>
    <t>Ket</t>
  </si>
  <si>
    <t>GOL</t>
  </si>
  <si>
    <t>GURU</t>
  </si>
  <si>
    <t>YANG</t>
  </si>
  <si>
    <t>VII</t>
  </si>
  <si>
    <t>VIII</t>
  </si>
  <si>
    <t>IX</t>
  </si>
  <si>
    <t>JML</t>
  </si>
  <si>
    <t>DIAMPU</t>
  </si>
  <si>
    <t>A</t>
  </si>
  <si>
    <t>B</t>
  </si>
  <si>
    <t>C</t>
  </si>
  <si>
    <t>D</t>
  </si>
  <si>
    <t>E</t>
  </si>
  <si>
    <t>F</t>
  </si>
  <si>
    <t>GMP</t>
  </si>
  <si>
    <t>Bahasa Inggris</t>
  </si>
  <si>
    <t>Kep Sek</t>
  </si>
  <si>
    <t>IPA</t>
  </si>
  <si>
    <t>Wali Kls</t>
  </si>
  <si>
    <t>IX A</t>
  </si>
  <si>
    <t>IPS</t>
  </si>
  <si>
    <t>VIII C</t>
  </si>
  <si>
    <t>Bahasa Jawa</t>
  </si>
  <si>
    <t>IX B</t>
  </si>
  <si>
    <t>SAPTANINGSIH PD,S.Pd</t>
  </si>
  <si>
    <t>Bhs. Indonesia</t>
  </si>
  <si>
    <t>G</t>
  </si>
  <si>
    <t>H</t>
  </si>
  <si>
    <t>Matematika</t>
  </si>
  <si>
    <t>I</t>
  </si>
  <si>
    <t>PAI</t>
  </si>
  <si>
    <t>KET</t>
  </si>
  <si>
    <t>J</t>
  </si>
  <si>
    <t>K</t>
  </si>
  <si>
    <t>Seni Budaya</t>
  </si>
  <si>
    <t>VII B</t>
  </si>
  <si>
    <t>L</t>
  </si>
  <si>
    <t>ASMUNI, S.Pd. Ek</t>
  </si>
  <si>
    <t>TIK</t>
  </si>
  <si>
    <t>M</t>
  </si>
  <si>
    <t>N</t>
  </si>
  <si>
    <t>VIII A</t>
  </si>
  <si>
    <t>O</t>
  </si>
  <si>
    <t>IX C</t>
  </si>
  <si>
    <t>P</t>
  </si>
  <si>
    <t>Q</t>
  </si>
  <si>
    <t>R</t>
  </si>
  <si>
    <t>VII D</t>
  </si>
  <si>
    <t>S</t>
  </si>
  <si>
    <t>T</t>
  </si>
  <si>
    <t>DRS. AGUS WIDODO</t>
  </si>
  <si>
    <t>U</t>
  </si>
  <si>
    <t>V</t>
  </si>
  <si>
    <t>SUPRIYONO, S.Pd</t>
  </si>
  <si>
    <t>PKN</t>
  </si>
  <si>
    <t>IX D</t>
  </si>
  <si>
    <t>W</t>
  </si>
  <si>
    <t>VIII B</t>
  </si>
  <si>
    <t>X</t>
  </si>
  <si>
    <t>Y</t>
  </si>
  <si>
    <t>ST. ASTUTIK, S.Pd</t>
  </si>
  <si>
    <t>VIII D</t>
  </si>
  <si>
    <t>MUH MAWARDI, S.Pd</t>
  </si>
  <si>
    <t>AA</t>
  </si>
  <si>
    <t>VII A</t>
  </si>
  <si>
    <t>VII C</t>
  </si>
  <si>
    <t>Bhs. Jawa</t>
  </si>
  <si>
    <t>TITIK ARDIATI, S.Ag</t>
  </si>
  <si>
    <t>RINA HAYATI, S.Pd</t>
  </si>
  <si>
    <t>Bhs. Inggris</t>
  </si>
  <si>
    <t>SRI RAHAYU, S.Pd</t>
  </si>
  <si>
    <t>BP / BK</t>
  </si>
  <si>
    <t>DIDIK PRABOWO, S.Pd</t>
  </si>
  <si>
    <t>Kepala Sekolah,</t>
  </si>
  <si>
    <t xml:space="preserve">: Keputusan Kepala SMPN 2 Karangtengah </t>
  </si>
  <si>
    <t xml:space="preserve">  Nomor</t>
  </si>
  <si>
    <t xml:space="preserve">  Tentang</t>
  </si>
  <si>
    <t>: Pembagian Tugas Mengajar</t>
  </si>
  <si>
    <t xml:space="preserve">  Tanggal</t>
  </si>
  <si>
    <t>Nama / NIP</t>
  </si>
  <si>
    <t>Gol</t>
  </si>
  <si>
    <t>Pendd/ Jurs</t>
  </si>
  <si>
    <t>Mengajar Mapel</t>
  </si>
  <si>
    <t>Jam Tatap Muka di kelas</t>
  </si>
  <si>
    <t>Jam/ Mgg</t>
  </si>
  <si>
    <t>Tugas Tambahan</t>
  </si>
  <si>
    <t>IV/a</t>
  </si>
  <si>
    <t>B.Inggris</t>
  </si>
  <si>
    <t>Kepala Sekolah</t>
  </si>
  <si>
    <t>19610610 198501 2 003</t>
  </si>
  <si>
    <t>Budi Santoso,S.Pd</t>
  </si>
  <si>
    <t>19610316 198501 1 002</t>
  </si>
  <si>
    <t>19630212 198503 2 017</t>
  </si>
  <si>
    <t>Asmuni,S.Pd. Ek</t>
  </si>
  <si>
    <t>19660927 198903 1 007</t>
  </si>
  <si>
    <t>19680618 199412 2 003</t>
  </si>
  <si>
    <t>Drs. Agus Widodo</t>
  </si>
  <si>
    <t>SI/</t>
  </si>
  <si>
    <t>19650305 199512 1 002</t>
  </si>
  <si>
    <t>Elektro</t>
  </si>
  <si>
    <t>SI/Bio</t>
  </si>
  <si>
    <t>Supriyono, SPd</t>
  </si>
  <si>
    <t>SI/PKn</t>
  </si>
  <si>
    <t>19680821 200604 1 008</t>
  </si>
  <si>
    <t>SI/B.Ing</t>
  </si>
  <si>
    <t>19810218 200604 2 012</t>
  </si>
  <si>
    <t>ST. Astutik, S.Pd</t>
  </si>
  <si>
    <t>SI/B.Ind</t>
  </si>
  <si>
    <t>19770129 200801 2 003</t>
  </si>
  <si>
    <t>Muh Mawardi, S.Pd</t>
  </si>
  <si>
    <t>19690803 200801 1 008</t>
  </si>
  <si>
    <t>B. Jawa</t>
  </si>
  <si>
    <t>19751020 200903 1 003</t>
  </si>
  <si>
    <t>Jawa</t>
  </si>
  <si>
    <t>19800814 200903 2 003</t>
  </si>
  <si>
    <t>19830917 200903 2 007</t>
  </si>
  <si>
    <t>-</t>
  </si>
  <si>
    <t>Titik Ardiati, S.Ag</t>
  </si>
  <si>
    <t>SI/PAI</t>
  </si>
  <si>
    <t>Rina Hayati, S.Pd</t>
  </si>
  <si>
    <t>SI/ B.Ing</t>
  </si>
  <si>
    <t>Sri Rahayu, S.Pd</t>
  </si>
  <si>
    <t>SI/BP</t>
  </si>
  <si>
    <t>Sri Wari Adi N, S.Pd</t>
  </si>
  <si>
    <t>Didik Prabowo, S.Pd</t>
  </si>
  <si>
    <t>Luluk Aulia ,S.Pd</t>
  </si>
  <si>
    <t>J U M L A H</t>
  </si>
  <si>
    <t>S1/PKn</t>
  </si>
  <si>
    <t>PPKN</t>
  </si>
  <si>
    <t>Bahasa Indonesia</t>
  </si>
  <si>
    <t>Penjas / Orkes</t>
  </si>
  <si>
    <t xml:space="preserve">SMP N 2 KARANGTENGAH </t>
  </si>
  <si>
    <t>Jumlah</t>
  </si>
  <si>
    <t xml:space="preserve">WALI KELAS </t>
  </si>
  <si>
    <t>SMP N 2 KARANGTENGAH</t>
  </si>
  <si>
    <t>Kelas</t>
  </si>
  <si>
    <t>Nama Wali Kls</t>
  </si>
  <si>
    <t xml:space="preserve">Lampiran II </t>
  </si>
  <si>
    <t xml:space="preserve">B. PEMBAGIAN TUGAS TAMBAHAN SEBAGAI WAKIL KEPALA SEKOLAH, </t>
  </si>
  <si>
    <t>Pangkat Gol</t>
  </si>
  <si>
    <t>Pembina / IVa</t>
  </si>
  <si>
    <t>Wali Kelas VII a</t>
  </si>
  <si>
    <t>Wali Kelas VII b</t>
  </si>
  <si>
    <t>Wali Kelas VII c</t>
  </si>
  <si>
    <t>Wali Kelas VII d</t>
  </si>
  <si>
    <t>Pembina  / IVa</t>
  </si>
  <si>
    <t>Wali Kelas VIII c</t>
  </si>
  <si>
    <t>Wali Kelas VIII d</t>
  </si>
  <si>
    <t>Wali Kelas IX c</t>
  </si>
  <si>
    <t>Wali Kelas IX d</t>
  </si>
  <si>
    <t xml:space="preserve">Lampiran IV </t>
  </si>
  <si>
    <t>Pangkat / Gol</t>
  </si>
  <si>
    <t>Sri Wahyuni</t>
  </si>
  <si>
    <t>Sukaelan</t>
  </si>
  <si>
    <t>19670807 198703 1 005</t>
  </si>
  <si>
    <t>Pengatur Muda / IIa</t>
  </si>
  <si>
    <t>Suroso</t>
  </si>
  <si>
    <t>PTT</t>
  </si>
  <si>
    <t>Puji Astuti, SPdI</t>
  </si>
  <si>
    <t>Jalil, SPdI</t>
  </si>
  <si>
    <t>Trubus</t>
  </si>
  <si>
    <t>Rebana</t>
  </si>
  <si>
    <t>Jenis Tugas / Kegiatan</t>
  </si>
  <si>
    <t xml:space="preserve">  Tanggal </t>
  </si>
  <si>
    <t>BTQ</t>
  </si>
  <si>
    <t xml:space="preserve"> </t>
  </si>
  <si>
    <t>Ka. Perpus</t>
  </si>
  <si>
    <t>Waka</t>
  </si>
  <si>
    <t>Bhs. Indon</t>
  </si>
  <si>
    <t>Dani Kuswani,S.Pd</t>
  </si>
  <si>
    <t>Afdul Gofur</t>
  </si>
  <si>
    <t>Malihatun Ni`mah, S.Si</t>
  </si>
  <si>
    <t>Mapel</t>
  </si>
  <si>
    <t>MALIHATUN NI'MAH, S.Si</t>
  </si>
  <si>
    <t>DWI NUGROHO,S.S</t>
  </si>
  <si>
    <t>PAULUS MULYONO, S.Pd</t>
  </si>
  <si>
    <t>Silat</t>
  </si>
  <si>
    <t>BK TIK</t>
  </si>
  <si>
    <t xml:space="preserve"> TIK</t>
  </si>
  <si>
    <t>Dapodik</t>
  </si>
  <si>
    <t xml:space="preserve">BK  </t>
  </si>
  <si>
    <t>Perpus</t>
  </si>
  <si>
    <t>BP/BK</t>
  </si>
  <si>
    <t>19770531 201406 2 001</t>
  </si>
  <si>
    <t>19771126 201406 2 003</t>
  </si>
  <si>
    <t>19810515 201406 2 004</t>
  </si>
  <si>
    <t>Penata Muda  / IIIa</t>
  </si>
  <si>
    <t xml:space="preserve">  Nomor   </t>
  </si>
  <si>
    <t xml:space="preserve">  Tentang </t>
  </si>
  <si>
    <t>E. PEMBAGIAN TUGAS PENGEMBANGAN DIRI / EKSTRAKURIKULER</t>
  </si>
  <si>
    <t>Penata Muda</t>
  </si>
  <si>
    <t>SERTIFIKASI</t>
  </si>
  <si>
    <t xml:space="preserve">Wali Kelas VIII b </t>
  </si>
  <si>
    <t>Jenis Tugas /Kegiatan</t>
  </si>
  <si>
    <t>Ka.LAB</t>
  </si>
  <si>
    <t>Bhs  Inggris</t>
  </si>
  <si>
    <t>MAPEL DLM</t>
  </si>
  <si>
    <t>IJASAH /</t>
  </si>
  <si>
    <t>TITIK ARDIYATI,S.Ag</t>
  </si>
  <si>
    <t>Malihatun Ni'mah,S.Si</t>
  </si>
  <si>
    <t>JUMLAH JAM /MINGGU</t>
  </si>
  <si>
    <t>Mata Pelajaran</t>
  </si>
  <si>
    <t>Jumlah Jam / Minggu</t>
  </si>
  <si>
    <t>Kelas VII</t>
  </si>
  <si>
    <t>Kelas VIII</t>
  </si>
  <si>
    <t>Kelas IX</t>
  </si>
  <si>
    <t>Jam</t>
  </si>
  <si>
    <t>BK TIK / TIK</t>
  </si>
  <si>
    <t>P A I</t>
  </si>
  <si>
    <t>19771029 200801 2 003</t>
  </si>
  <si>
    <t>Rina Hayati,S.Pd</t>
  </si>
  <si>
    <t>Penata Muda / IIIa</t>
  </si>
  <si>
    <t>Waka.</t>
  </si>
  <si>
    <t>Penjasorkes</t>
  </si>
  <si>
    <t>B.Indonesia</t>
  </si>
  <si>
    <t xml:space="preserve">Lampiran I </t>
  </si>
  <si>
    <t>III/a</t>
  </si>
  <si>
    <t>19680821 200604 1 012</t>
  </si>
  <si>
    <t>19831028 200803 2 001</t>
  </si>
  <si>
    <t>Nur Rizki Maulinda,S.E</t>
  </si>
  <si>
    <t>Ka. LAB</t>
  </si>
  <si>
    <t>Ahmad Jauhari</t>
  </si>
  <si>
    <t>Shobirin,S.Pd</t>
  </si>
  <si>
    <t>Jalil, SPd.I</t>
  </si>
  <si>
    <t>RINA HAYATI,S.Pd</t>
  </si>
  <si>
    <t>SRI WAHYUNI, S.Pd.,M.Pd</t>
  </si>
  <si>
    <t>Sriwari Adi N, S.Pd</t>
  </si>
  <si>
    <t>BK / BP</t>
  </si>
  <si>
    <t>Saptaningsih PD.S.Pd</t>
  </si>
  <si>
    <t>Sri Wahyuni, S.Pd,M.Pd</t>
  </si>
  <si>
    <t>SI/Penjas, S2 Penddk</t>
  </si>
  <si>
    <t>S1/ Bhs Indonesia</t>
  </si>
  <si>
    <t>Kepala Perpustakaan</t>
  </si>
  <si>
    <t>S1/ Bhs Jawa</t>
  </si>
  <si>
    <t>Wali Kelas VIII a</t>
  </si>
  <si>
    <t>Sepak Bola</t>
  </si>
  <si>
    <t xml:space="preserve"> Tugas Lain</t>
  </si>
  <si>
    <t>Dapodik, STP2K</t>
  </si>
  <si>
    <t>S1/Ek. Koperasi</t>
  </si>
  <si>
    <t>SI/Sastra</t>
  </si>
  <si>
    <t>S1/ PAI</t>
  </si>
  <si>
    <t>Zumro'ah,S.Pd.I</t>
  </si>
  <si>
    <t>III/d</t>
  </si>
  <si>
    <t>Penata Tk I / IIId</t>
  </si>
  <si>
    <t>19661010 198803 1 009</t>
  </si>
  <si>
    <t>Paulus Muljono, S.Pd</t>
  </si>
  <si>
    <t>Titik Ardiati,S.Ag</t>
  </si>
  <si>
    <t xml:space="preserve">Dwi Nugroho A.,S.S </t>
  </si>
  <si>
    <t>Prakarya</t>
  </si>
  <si>
    <t>Ka Perpus</t>
  </si>
  <si>
    <t>SRI HARYATI,S.Pd</t>
  </si>
  <si>
    <t>ZUMRO'AH,S.Pd.I</t>
  </si>
  <si>
    <t>Sri Haryati,S.Pd</t>
  </si>
  <si>
    <t>S1/ IPS</t>
  </si>
  <si>
    <t>SUDIYANTO,S.Pd</t>
  </si>
  <si>
    <t>19691213 201406 2 001</t>
  </si>
  <si>
    <t>19621020 198403 1 011</t>
  </si>
  <si>
    <t>Sudiyanto,S.Pd</t>
  </si>
  <si>
    <t>19621020 198403 1 002</t>
  </si>
  <si>
    <t>2. Kepegawaian</t>
  </si>
  <si>
    <t>1. Satpam / Security</t>
  </si>
  <si>
    <t>Suniman</t>
  </si>
  <si>
    <t>Jami'an</t>
  </si>
  <si>
    <t>1. Penjaga Malam</t>
  </si>
  <si>
    <t>LAB PAI</t>
  </si>
  <si>
    <t>SMP NEGERI 2 KARANGTENGAH</t>
  </si>
  <si>
    <t>Waka Kur.</t>
  </si>
  <si>
    <t>Priyantono,S.Pd.,M.Pd</t>
  </si>
  <si>
    <t>NIP. 19690225 199403 1 005</t>
  </si>
  <si>
    <t>Tanda Tangan</t>
  </si>
  <si>
    <t>PRIYANTONO,S.Pd.,M.Pd</t>
  </si>
  <si>
    <t>19690225 199403 1 005</t>
  </si>
  <si>
    <t>KJM (&lt;30 Jam)</t>
  </si>
  <si>
    <t>KJM (&gt;30 Jam)</t>
  </si>
  <si>
    <t>PRIYANTONO,S.Pd.,M.Pd.</t>
  </si>
  <si>
    <t>SKB</t>
  </si>
  <si>
    <t>Priyantono,S.Pd.,M.Pd.</t>
  </si>
  <si>
    <t>IV/b</t>
  </si>
  <si>
    <t>IV/c</t>
  </si>
  <si>
    <t>S1/ B. Jawa, S2/Penddk</t>
  </si>
  <si>
    <t>S1/Mtk, S2/Penddk</t>
  </si>
  <si>
    <t>SI/ Fisika</t>
  </si>
  <si>
    <t>DAFTAR PENERIMAAN TUNJANGAN KELEBIHAN JAM MENGAJAR (KJM) GURU</t>
  </si>
  <si>
    <t>ST ASTUTIK,S.Pd</t>
  </si>
  <si>
    <t>Penata Muda Tk 1  / IIIb</t>
  </si>
  <si>
    <t>Kepala LAB</t>
  </si>
  <si>
    <t>Tk 1 / III b</t>
  </si>
  <si>
    <t>Waka. Kurikulum 1</t>
  </si>
  <si>
    <t>Waka. Kesiswaan 1</t>
  </si>
  <si>
    <t>Penata Tk 1 / IIId</t>
  </si>
  <si>
    <t>Waka. Kurikulum 2</t>
  </si>
  <si>
    <t>Waka. Sarpras 1</t>
  </si>
  <si>
    <t>Waka.  Humas 1</t>
  </si>
  <si>
    <t>Waka.  Humas 2</t>
  </si>
  <si>
    <t>Waka. Humas 2</t>
  </si>
  <si>
    <t>Bend. Rutin</t>
  </si>
  <si>
    <t>Bendh Rutin</t>
  </si>
  <si>
    <t xml:space="preserve">JUMLAH JAM PELAJARAN  / MINGGU </t>
  </si>
  <si>
    <t>1. Koordinator TU</t>
  </si>
  <si>
    <t>Bendh Barang, Urs. Rumah Tangga, Urs. Kebersihan Lingkungan</t>
  </si>
  <si>
    <t>Majalah Sekolah, Mading Kelas, Jurnalistik</t>
  </si>
  <si>
    <t>19871108 201001 2 013</t>
  </si>
  <si>
    <t>SEMETER GASAL TAHUN PELAJARAN 2020/2021</t>
  </si>
  <si>
    <t>B. Indonesia</t>
  </si>
  <si>
    <t>B. Inggris</t>
  </si>
  <si>
    <t>Asmuni,S.Pd</t>
  </si>
  <si>
    <t>Tukang kebun</t>
  </si>
  <si>
    <t>BULAN JULI s/d DESEMBER 2020</t>
  </si>
  <si>
    <t>Tunjangan GTT Rp 120.000; (Juli s/d Des 2020)</t>
  </si>
  <si>
    <t>Tunjangan Rp 24 000; (Juli s/d Des 2020)</t>
  </si>
  <si>
    <t>Dani Kuswani,S.Pd,M.Pd</t>
  </si>
  <si>
    <t xml:space="preserve">Dewi Nur Khalimah,S.Pd.,M.Pd/              19871108 201001 2 013 </t>
  </si>
  <si>
    <t>DEWI NUR KHALIMAH,SPd,M.Pd</t>
  </si>
  <si>
    <t>W. RAHCMAWATI, S.Pd,M.Pd</t>
  </si>
  <si>
    <t>SEPTIA NURKHALISA, S.Pd</t>
  </si>
  <si>
    <t>19970906 202012 2 024</t>
  </si>
  <si>
    <t>Septia Nurkhalisa,S.Pd</t>
  </si>
  <si>
    <t>PPKn</t>
  </si>
  <si>
    <t>SEMETER GENAP TAHUN PELAJARAN 2020/2021</t>
  </si>
  <si>
    <t>BULAN JANUARI s/d JUNI 2021</t>
  </si>
  <si>
    <t>Yuni Ratminingsih, S.Pd</t>
  </si>
  <si>
    <t>TIK&amp; Prakarya</t>
  </si>
  <si>
    <t>Supriyono,S.Pd</t>
  </si>
  <si>
    <t>Demak, 30 Juni 2021</t>
  </si>
  <si>
    <t>Demak, 30 Desember 2020</t>
  </si>
  <si>
    <t>DEWI NUR KHALIMAH,S.Pd.,M.Pd</t>
  </si>
  <si>
    <t>Pembina Tk I / IVb</t>
  </si>
  <si>
    <t>19720208 202121 2 004</t>
  </si>
  <si>
    <t>Bendahara BOS</t>
  </si>
  <si>
    <t>BK TIK /TIK</t>
  </si>
  <si>
    <t>DANI KUSWANI,S.Pd.,M.Pd</t>
  </si>
  <si>
    <t>Kurikulum 1</t>
  </si>
  <si>
    <t>BK</t>
  </si>
  <si>
    <t xml:space="preserve">Septia Nurkhalisa, S.Pd /       19970906 202012 2 024 </t>
  </si>
  <si>
    <t>Sri Wahyuni, S.Pd.,M.Pd. /             19680618 199412 2 003</t>
  </si>
  <si>
    <t>Pembina Tk I /IV b</t>
  </si>
  <si>
    <t>Pembina Tk I / IV b</t>
  </si>
  <si>
    <t>Pembina Utama Muda, / IVc</t>
  </si>
  <si>
    <t>Pembina Tk I, / IVb</t>
  </si>
  <si>
    <t>Pembina Tk I,  / IVb</t>
  </si>
  <si>
    <t>Pembina, / IVa</t>
  </si>
  <si>
    <t>Penata Tk I,  /IIId</t>
  </si>
  <si>
    <t>Penata Muda, /IIIa</t>
  </si>
  <si>
    <t>Kesiswaan 2</t>
  </si>
  <si>
    <t>Kurikulum 2</t>
  </si>
  <si>
    <t>Wk Sarpras 2</t>
  </si>
  <si>
    <t>Wk Sarpras 1</t>
  </si>
  <si>
    <t>Z</t>
  </si>
  <si>
    <t xml:space="preserve">D. PEMBAGIAN TUGAS KHUSUS  </t>
  </si>
  <si>
    <t>Supriyono,S.Pd /                  19680821 200604 1 008</t>
  </si>
  <si>
    <t>Dwi Nugroho,S.S /                       19751020 200903 1 003</t>
  </si>
  <si>
    <t>Muh Mawardi, SPd /                     19690803 200801 1 008</t>
  </si>
  <si>
    <t>Sri Haryati,S.Pd. /                       19691213 201406 2 001</t>
  </si>
  <si>
    <t>Sri Wahyuni, S.Pd.,M.Pd</t>
  </si>
  <si>
    <t xml:space="preserve">2. Kebersihan Lingk </t>
  </si>
  <si>
    <t>2. Kebersihan Lingk</t>
  </si>
  <si>
    <t>Rukani</t>
  </si>
  <si>
    <t>Keamanan jam 14.00 s/d 18.00 WIB</t>
  </si>
  <si>
    <t xml:space="preserve"> TAHUN PELAJARAN  2021 / 2022</t>
  </si>
  <si>
    <t>Wl Kls VIII b</t>
  </si>
  <si>
    <t>Wl Kls VIII c</t>
  </si>
  <si>
    <t>Wl Kls IX d</t>
  </si>
  <si>
    <t>Wl Kls VII d</t>
  </si>
  <si>
    <t>SRIWARI ADI N, S.Pd</t>
  </si>
  <si>
    <t>III/b</t>
  </si>
  <si>
    <t>Wl Kls IX a</t>
  </si>
  <si>
    <t>Septia Nurkhalisa, S.Pd</t>
  </si>
  <si>
    <t>S1/IPA</t>
  </si>
  <si>
    <t>Wl Kls VII a</t>
  </si>
  <si>
    <t>19720208 2002121 2 004</t>
  </si>
  <si>
    <t>Guru BK Ahli 1,/ IX</t>
  </si>
  <si>
    <t>Pembina BK/BP</t>
  </si>
  <si>
    <t>Pembina UKS dan Pendamping BK/BP</t>
  </si>
  <si>
    <t>Penata Muda Tk 1/ IIIb</t>
  </si>
  <si>
    <t>Lampiran III</t>
  </si>
  <si>
    <t>Asmuni ,S.Pd,Ek /                               19661010 198803 1 009</t>
  </si>
  <si>
    <t>ST Astutik,S.Pd. /                                       19770129 200801 2 003</t>
  </si>
  <si>
    <t>Titik Ardiati,S.Ag /                                     19770531 201406 2 001</t>
  </si>
  <si>
    <t>Dani Kuswani,S.Pd.,M.Pd</t>
  </si>
  <si>
    <t>W. Rachmawati, S.Pd.M.Pd</t>
  </si>
  <si>
    <t>Dewi Nur Khalimah,SPd.M.Pd</t>
  </si>
  <si>
    <t>Intan Puspita N.,S.Pd.,M.Pd</t>
  </si>
  <si>
    <t>S1/B. Ind,  S2/Penddk</t>
  </si>
  <si>
    <t>SI/B.Ing,   S2/Penddk</t>
  </si>
  <si>
    <t>Saptaningsih PD, S.Pd /              19630212 198503 2 017</t>
  </si>
  <si>
    <t>Paulus Mulyono, S.Pd</t>
  </si>
  <si>
    <t>Bendahara Rutin</t>
  </si>
  <si>
    <t>Dwi Nugroho  A., S.S</t>
  </si>
  <si>
    <t>Rina Hayati,S.Pd. /                                     19771126 201406 2 003</t>
  </si>
  <si>
    <t>Malihatun Ni'mah,S.Si/                        19800814 200903 2 003</t>
  </si>
  <si>
    <t>/B Jawa</t>
  </si>
  <si>
    <t>LULU' AULIA,S.Pd</t>
  </si>
  <si>
    <t>JUMLAH JAM / KELAS</t>
  </si>
  <si>
    <t>19870407 202221 2 005</t>
  </si>
  <si>
    <t>19840228 202221 1 014</t>
  </si>
  <si>
    <t>Khoirun Ni'am, S.E</t>
  </si>
  <si>
    <t>19760216 202221 2 007</t>
  </si>
  <si>
    <t>Istikomah, S.Pd</t>
  </si>
  <si>
    <t>19870426 202221 2 004</t>
  </si>
  <si>
    <t>S1/B Ind &amp; Daerah</t>
  </si>
  <si>
    <t>S1/ Ekonomi</t>
  </si>
  <si>
    <t>Siti Koriyah, S.Pd</t>
  </si>
  <si>
    <t>S1 / PPKn</t>
  </si>
  <si>
    <t xml:space="preserve">S1 / Bhs Daerah </t>
  </si>
  <si>
    <t>LULU' AULIA, S.Pd</t>
  </si>
  <si>
    <t>KHOIRUN NI'AM, S.E.</t>
  </si>
  <si>
    <t>ISTIKOMAH, S.Pd</t>
  </si>
  <si>
    <t>TAHUN PELAJARAN 2022 / 2023</t>
  </si>
  <si>
    <t>Demak, 1 Juli 2022</t>
  </si>
  <si>
    <t>No : 800 / 094 / 2022</t>
  </si>
  <si>
    <t>SEMESTER GASAL TAHUN PELAJARAN 2022 / 2023</t>
  </si>
  <si>
    <t>Demak,  1 Juli 2022</t>
  </si>
  <si>
    <t>PPPK / IX</t>
  </si>
  <si>
    <t>SITI KHOIRIYAH, S,Pd</t>
  </si>
  <si>
    <t>ISTIQOMAH, S.Pd</t>
  </si>
  <si>
    <t>KHOIRUN NI'AM, S.E</t>
  </si>
  <si>
    <t>: 1 Juli 2022</t>
  </si>
  <si>
    <t>UNSUR PEMBANTU PIMPINAN DAN WALI KELAS  TAHUN PELAJARAN  2022/2023</t>
  </si>
  <si>
    <t>Pembina Tk 1 / IVb</t>
  </si>
  <si>
    <t>Penata Muda Tk 1 /III b</t>
  </si>
  <si>
    <t>Khoirun Ni'am, S.E /             19840228 202221 1 014</t>
  </si>
  <si>
    <t>TAHUN PELAJARAN  2022/2023</t>
  </si>
  <si>
    <t>Penata  Tk 1/ IIId</t>
  </si>
  <si>
    <t>: 1 Juli  2022</t>
  </si>
  <si>
    <t>A. PEMBAGIAN TUGAS JAM MENGAJAR TAHUN PELAJARAN 2022/2023</t>
  </si>
  <si>
    <t xml:space="preserve"> TAHUN PELAJARAN 2022 / 2023</t>
  </si>
  <si>
    <t xml:space="preserve">Waka </t>
  </si>
  <si>
    <t>Humas 1</t>
  </si>
  <si>
    <t>: 800 / 094 / 2022</t>
  </si>
  <si>
    <t>Sri Wari Adi N.,S.Pd.  /           19810515 201406 2 004</t>
  </si>
  <si>
    <t>Lulu' Aulia, S.Pd /                 19870407 202201 2 013</t>
  </si>
  <si>
    <t xml:space="preserve">Siti Khoiriyah, S.Pd /                19760216 202221 1 007   </t>
  </si>
  <si>
    <t>Istiqomah, S.Pd /                       19870426 202221 2 004</t>
  </si>
  <si>
    <t>Wl Kls IX A</t>
  </si>
  <si>
    <t>Pendamping</t>
  </si>
  <si>
    <t>Bendh BOS</t>
  </si>
  <si>
    <t>DWI NUGROHO, S.S</t>
  </si>
  <si>
    <t xml:space="preserve">Prakarya </t>
  </si>
  <si>
    <t>Prakarya / Seni Budaya</t>
  </si>
  <si>
    <t>Waka Kurikulum 2</t>
  </si>
  <si>
    <t>Wl. Kls VIII a</t>
  </si>
  <si>
    <t>Wl. Kls IX b</t>
  </si>
  <si>
    <t>Waka Kesiswaan 2</t>
  </si>
  <si>
    <t>Pendamping Bendahara BOS</t>
  </si>
  <si>
    <t>Pendamping Bendhr BOS</t>
  </si>
  <si>
    <t>Waka.      Humas 2</t>
  </si>
  <si>
    <t>Waka.       Humas 1</t>
  </si>
  <si>
    <t>Wl.Kls IX c</t>
  </si>
  <si>
    <t>Waka.      Sarpras1</t>
  </si>
  <si>
    <t>Wl Kls VIII d</t>
  </si>
  <si>
    <t>Wl Kls VII c</t>
  </si>
  <si>
    <t>Wuwuk Rahmawati, S.Pd.,M.Pd</t>
  </si>
  <si>
    <t>19810218 200604 1 012</t>
  </si>
  <si>
    <t>Waka. Sarpras 2,         Wali Kelas IX A</t>
  </si>
  <si>
    <t xml:space="preserve">Kepala LAB. PAI </t>
  </si>
  <si>
    <t>Pembina Pramuka Putra</t>
  </si>
  <si>
    <t>Pembina Pramuka Putri</t>
  </si>
  <si>
    <t>Pembina Seni Budaya</t>
  </si>
  <si>
    <t>Khoirun Ni'am, S.Pd</t>
  </si>
  <si>
    <t>English Club / Convertation</t>
  </si>
  <si>
    <t>PPPK   / IX</t>
  </si>
  <si>
    <t>Siti Khoiriyah, S.Pd</t>
  </si>
  <si>
    <t>Pendamping BK/BP</t>
  </si>
  <si>
    <t>Ke TU an</t>
  </si>
  <si>
    <t>Sri Haryati, S.Pd</t>
  </si>
  <si>
    <t>3. Bendahara Komite 1</t>
  </si>
  <si>
    <t>Bendahara Komite 2</t>
  </si>
  <si>
    <t>Wl Kls IX B</t>
  </si>
  <si>
    <t>SITI KHORIYAH, S.Pd</t>
  </si>
  <si>
    <t>GNP</t>
  </si>
  <si>
    <t>Waka.  Kesiswaan 2,    Wali Kelas IX B</t>
  </si>
  <si>
    <t>IPA / Biologi</t>
  </si>
  <si>
    <t>NIP 19690225 199403 1 005</t>
  </si>
  <si>
    <t>BK TIK / TIK / Informatika</t>
  </si>
  <si>
    <t>DAPODIK</t>
  </si>
  <si>
    <t>Wl Kls VII b</t>
  </si>
  <si>
    <t>Koordinator Olah Raga</t>
  </si>
  <si>
    <t>Pelatih</t>
  </si>
  <si>
    <t>Derajat</t>
  </si>
  <si>
    <t>Volly Putra dan Putri</t>
  </si>
  <si>
    <t>Asikin, S.Pd</t>
  </si>
  <si>
    <t>Koordinator Seni baca Al Quran</t>
  </si>
  <si>
    <t>Seni Baca Al Quran</t>
  </si>
  <si>
    <t>Peng Panc</t>
  </si>
  <si>
    <t>Koord PPP</t>
  </si>
  <si>
    <t>Pengelola Kepegawaian</t>
  </si>
  <si>
    <t>Pengelola Keuangan</t>
  </si>
  <si>
    <t>Pengola Data Tenaga Kependidikan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</si>
</sst>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p&quot;* #,##0_);_(&quot;Rp&quot;* \(#,##0\);_(&quot;Rp&quot;* &quot;-&quot;_);_(@_)"/>
  </numFmts>
  <fonts count="31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sz val="1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charset val="1"/>
      <scheme val="minor"/>
    </font>
    <font>
      <sz val="12"/>
      <color theme="1"/>
      <name val="Calibri"/>
      <family val="2"/>
    </font>
    <font>
      <b/>
      <sz val="18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2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7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0" fillId="0" borderId="0" xfId="0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0" fillId="0" borderId="2" xfId="0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/>
    <xf numFmtId="0" fontId="12" fillId="0" borderId="0" xfId="0" applyFont="1"/>
    <xf numFmtId="0" fontId="11" fillId="0" borderId="0" xfId="0" applyFont="1"/>
    <xf numFmtId="0" fontId="3" fillId="0" borderId="4" xfId="0" quotePrefix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4" fillId="0" borderId="4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4" fillId="0" borderId="3" xfId="0" applyFont="1" applyBorder="1"/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8" xfId="0" quotePrefix="1" applyFont="1" applyBorder="1" applyAlignment="1">
      <alignment horizontal="center" vertical="center" wrapText="1"/>
    </xf>
    <xf numFmtId="0" fontId="17" fillId="0" borderId="4" xfId="0" quotePrefix="1" applyFont="1" applyBorder="1" applyAlignment="1">
      <alignment horizontal="center" vertical="center" wrapText="1"/>
    </xf>
    <xf numFmtId="0" fontId="17" fillId="0" borderId="3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3" fillId="0" borderId="8" xfId="0" quotePrefix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1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14" xfId="0" quotePrefix="1" applyFont="1" applyFill="1" applyBorder="1" applyAlignment="1">
      <alignment horizontal="center"/>
    </xf>
    <xf numFmtId="0" fontId="14" fillId="2" borderId="21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0" xfId="0" applyFont="1"/>
    <xf numFmtId="0" fontId="21" fillId="0" borderId="0" xfId="0" applyFont="1"/>
    <xf numFmtId="0" fontId="14" fillId="0" borderId="1" xfId="0" applyFont="1" applyBorder="1"/>
    <xf numFmtId="0" fontId="16" fillId="0" borderId="0" xfId="0" applyFont="1"/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/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4" fillId="0" borderId="12" xfId="0" applyFont="1" applyBorder="1"/>
    <xf numFmtId="0" fontId="14" fillId="0" borderId="0" xfId="0" applyFont="1" applyAlignment="1">
      <alignment horizontal="left"/>
    </xf>
    <xf numFmtId="0" fontId="14" fillId="0" borderId="8" xfId="0" applyFont="1" applyBorder="1"/>
    <xf numFmtId="0" fontId="16" fillId="0" borderId="8" xfId="0" applyFont="1" applyBorder="1" applyAlignment="1">
      <alignment horizontal="center"/>
    </xf>
    <xf numFmtId="0" fontId="14" fillId="0" borderId="14" xfId="0" applyFont="1" applyBorder="1"/>
    <xf numFmtId="0" fontId="16" fillId="0" borderId="3" xfId="0" applyFont="1" applyBorder="1"/>
    <xf numFmtId="0" fontId="14" fillId="0" borderId="9" xfId="0" applyFont="1" applyBorder="1"/>
    <xf numFmtId="0" fontId="14" fillId="2" borderId="13" xfId="0" applyFont="1" applyFill="1" applyBorder="1" applyAlignment="1">
      <alignment horizontal="center"/>
    </xf>
    <xf numFmtId="0" fontId="14" fillId="2" borderId="9" xfId="0" applyFont="1" applyFill="1" applyBorder="1"/>
    <xf numFmtId="0" fontId="14" fillId="2" borderId="12" xfId="0" applyFont="1" applyFill="1" applyBorder="1"/>
    <xf numFmtId="0" fontId="14" fillId="2" borderId="8" xfId="0" applyFont="1" applyFill="1" applyBorder="1" applyAlignment="1">
      <alignment horizontal="center"/>
    </xf>
    <xf numFmtId="0" fontId="16" fillId="0" borderId="8" xfId="0" applyFont="1" applyBorder="1"/>
    <xf numFmtId="0" fontId="14" fillId="2" borderId="12" xfId="0" quotePrefix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0" borderId="10" xfId="0" applyFont="1" applyBorder="1"/>
    <xf numFmtId="0" fontId="14" fillId="0" borderId="0" xfId="0" applyFont="1" applyBorder="1"/>
    <xf numFmtId="0" fontId="16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6" fillId="0" borderId="4" xfId="0" applyFont="1" applyBorder="1"/>
    <xf numFmtId="0" fontId="14" fillId="2" borderId="14" xfId="0" applyFont="1" applyFill="1" applyBorder="1"/>
    <xf numFmtId="0" fontId="14" fillId="2" borderId="22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14" fillId="2" borderId="15" xfId="0" quotePrefix="1" applyFont="1" applyFill="1" applyBorder="1" applyAlignment="1">
      <alignment horizontal="center"/>
    </xf>
    <xf numFmtId="0" fontId="14" fillId="0" borderId="23" xfId="0" applyFont="1" applyBorder="1"/>
    <xf numFmtId="0" fontId="14" fillId="3" borderId="9" xfId="0" applyFont="1" applyFill="1" applyBorder="1"/>
    <xf numFmtId="0" fontId="14" fillId="2" borderId="4" xfId="0" applyFont="1" applyFill="1" applyBorder="1"/>
    <xf numFmtId="0" fontId="14" fillId="2" borderId="27" xfId="0" quotePrefix="1" applyFont="1" applyFill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14" fillId="2" borderId="3" xfId="0" applyFont="1" applyFill="1" applyBorder="1" applyAlignment="1">
      <alignment horizontal="center"/>
    </xf>
    <xf numFmtId="0" fontId="14" fillId="2" borderId="27" xfId="0" applyFont="1" applyFill="1" applyBorder="1"/>
    <xf numFmtId="0" fontId="14" fillId="2" borderId="27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4" fillId="2" borderId="8" xfId="0" applyFont="1" applyFill="1" applyBorder="1"/>
    <xf numFmtId="0" fontId="14" fillId="2" borderId="3" xfId="0" applyFont="1" applyFill="1" applyBorder="1"/>
    <xf numFmtId="0" fontId="14" fillId="2" borderId="17" xfId="0" applyFont="1" applyFill="1" applyBorder="1" applyAlignment="1">
      <alignment horizontal="center"/>
    </xf>
    <xf numFmtId="0" fontId="21" fillId="2" borderId="31" xfId="0" applyFont="1" applyFill="1" applyBorder="1"/>
    <xf numFmtId="0" fontId="8" fillId="0" borderId="1" xfId="0" applyFont="1" applyBorder="1" applyAlignment="1">
      <alignment horizontal="center"/>
    </xf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8" fontId="0" fillId="2" borderId="2" xfId="0" applyNumberForma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/>
    <xf numFmtId="0" fontId="15" fillId="2" borderId="2" xfId="0" applyFont="1" applyFill="1" applyBorder="1"/>
    <xf numFmtId="0" fontId="1" fillId="2" borderId="0" xfId="0" applyFont="1" applyFill="1"/>
    <xf numFmtId="0" fontId="3" fillId="0" borderId="4" xfId="0" quotePrefix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9" fillId="2" borderId="0" xfId="0" applyFont="1" applyFill="1"/>
    <xf numFmtId="0" fontId="13" fillId="2" borderId="0" xfId="0" applyFont="1" applyFill="1" applyAlignment="1"/>
    <xf numFmtId="0" fontId="13" fillId="2" borderId="0" xfId="0" applyFont="1" applyFill="1"/>
    <xf numFmtId="0" fontId="13" fillId="2" borderId="0" xfId="0" applyFont="1" applyFill="1" applyAlignment="1">
      <alignment horizontal="right"/>
    </xf>
    <xf numFmtId="0" fontId="3" fillId="2" borderId="3" xfId="0" applyFont="1" applyFill="1" applyBorder="1" applyAlignment="1">
      <alignment vertical="center" wrapText="1"/>
    </xf>
    <xf numFmtId="0" fontId="14" fillId="2" borderId="23" xfId="0" applyFont="1" applyFill="1" applyBorder="1"/>
    <xf numFmtId="0" fontId="3" fillId="0" borderId="3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19" fillId="0" borderId="0" xfId="0" applyFont="1"/>
    <xf numFmtId="0" fontId="3" fillId="2" borderId="4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2" borderId="0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2" borderId="0" xfId="0" applyFont="1" applyFill="1" applyBorder="1"/>
    <xf numFmtId="0" fontId="6" fillId="6" borderId="5" xfId="0" applyFont="1" applyFill="1" applyBorder="1" applyAlignment="1">
      <alignment horizontal="center" vertical="center"/>
    </xf>
    <xf numFmtId="0" fontId="24" fillId="0" borderId="0" xfId="0" applyFont="1"/>
    <xf numFmtId="0" fontId="17" fillId="0" borderId="0" xfId="0" applyFont="1" applyAlignment="1">
      <alignment horizontal="left"/>
    </xf>
    <xf numFmtId="0" fontId="14" fillId="2" borderId="13" xfId="0" quotePrefix="1" applyFont="1" applyFill="1" applyBorder="1" applyAlignment="1">
      <alignment horizontal="center"/>
    </xf>
    <xf numFmtId="0" fontId="4" fillId="0" borderId="4" xfId="0" applyFont="1" applyBorder="1" applyAlignment="1">
      <alignment vertical="top" wrapText="1"/>
    </xf>
    <xf numFmtId="0" fontId="17" fillId="0" borderId="2" xfId="0" applyFont="1" applyBorder="1" applyAlignment="1">
      <alignment horizontal="left" vertical="center" wrapText="1"/>
    </xf>
    <xf numFmtId="0" fontId="14" fillId="2" borderId="0" xfId="0" applyFont="1" applyFill="1" applyBorder="1" applyAlignment="1">
      <alignment vertical="center"/>
    </xf>
    <xf numFmtId="0" fontId="17" fillId="0" borderId="0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 wrapText="1"/>
    </xf>
    <xf numFmtId="0" fontId="17" fillId="5" borderId="3" xfId="0" quotePrefix="1" applyFont="1" applyFill="1" applyBorder="1" applyAlignment="1">
      <alignment horizontal="center" vertical="center" wrapText="1"/>
    </xf>
    <xf numFmtId="0" fontId="17" fillId="0" borderId="4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2" borderId="2" xfId="0" applyFont="1" applyFill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5" fillId="0" borderId="36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0" fillId="7" borderId="7" xfId="0" applyFill="1" applyBorder="1" applyAlignment="1">
      <alignment vertical="center"/>
    </xf>
    <xf numFmtId="0" fontId="6" fillId="5" borderId="36" xfId="0" applyFont="1" applyFill="1" applyBorder="1" applyAlignment="1">
      <alignment horizontal="center" vertical="center"/>
    </xf>
    <xf numFmtId="0" fontId="0" fillId="5" borderId="40" xfId="0" applyFill="1" applyBorder="1" applyAlignment="1">
      <alignment vertical="center"/>
    </xf>
    <xf numFmtId="0" fontId="6" fillId="5" borderId="39" xfId="0" applyFont="1" applyFill="1" applyBorder="1" applyAlignment="1">
      <alignment horizontal="center" vertical="center"/>
    </xf>
    <xf numFmtId="0" fontId="0" fillId="5" borderId="39" xfId="0" applyFill="1" applyBorder="1" applyAlignment="1">
      <alignment vertical="center"/>
    </xf>
    <xf numFmtId="0" fontId="5" fillId="0" borderId="29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6" fillId="2" borderId="1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14" fillId="0" borderId="3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6" fillId="0" borderId="0" xfId="0" applyFont="1" applyBorder="1"/>
    <xf numFmtId="0" fontId="25" fillId="0" borderId="2" xfId="0" applyFont="1" applyBorder="1" applyAlignment="1">
      <alignment vertical="top" wrapText="1"/>
    </xf>
    <xf numFmtId="0" fontId="14" fillId="8" borderId="11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0" fontId="14" fillId="8" borderId="9" xfId="0" quotePrefix="1" applyFont="1" applyFill="1" applyBorder="1" applyAlignment="1">
      <alignment horizontal="center"/>
    </xf>
    <xf numFmtId="0" fontId="14" fillId="8" borderId="11" xfId="0" quotePrefix="1" applyFont="1" applyFill="1" applyBorder="1" applyAlignment="1">
      <alignment horizontal="center"/>
    </xf>
    <xf numFmtId="0" fontId="19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10" fillId="2" borderId="0" xfId="0" applyFont="1" applyFill="1" applyAlignment="1">
      <alignment horizontal="center"/>
    </xf>
    <xf numFmtId="0" fontId="2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28" fillId="2" borderId="3" xfId="0" applyFont="1" applyFill="1" applyBorder="1" applyAlignment="1">
      <alignment vertical="top" wrapText="1"/>
    </xf>
    <xf numFmtId="0" fontId="29" fillId="2" borderId="3" xfId="0" applyFont="1" applyFill="1" applyBorder="1" applyAlignment="1">
      <alignment vertical="top" wrapText="1"/>
    </xf>
    <xf numFmtId="0" fontId="28" fillId="2" borderId="3" xfId="0" applyFont="1" applyFill="1" applyBorder="1" applyAlignment="1">
      <alignment vertical="center" wrapText="1"/>
    </xf>
    <xf numFmtId="0" fontId="28" fillId="2" borderId="8" xfId="0" applyFont="1" applyFill="1" applyBorder="1" applyAlignment="1">
      <alignment vertical="top" wrapText="1"/>
    </xf>
    <xf numFmtId="0" fontId="28" fillId="2" borderId="4" xfId="0" applyFont="1" applyFill="1" applyBorder="1" applyAlignment="1">
      <alignment vertical="top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left" vertical="top" wrapText="1"/>
    </xf>
    <xf numFmtId="0" fontId="28" fillId="2" borderId="17" xfId="0" applyFont="1" applyFill="1" applyBorder="1" applyAlignment="1">
      <alignment horizontal="left" vertical="center" wrapText="1"/>
    </xf>
    <xf numFmtId="0" fontId="28" fillId="2" borderId="3" xfId="0" applyFont="1" applyFill="1" applyBorder="1" applyAlignment="1">
      <alignment horizontal="center" vertical="top" wrapText="1"/>
    </xf>
    <xf numFmtId="0" fontId="28" fillId="2" borderId="2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vertical="center" wrapText="1"/>
    </xf>
    <xf numFmtId="0" fontId="28" fillId="2" borderId="2" xfId="0" applyFont="1" applyFill="1" applyBorder="1" applyAlignment="1">
      <alignment horizontal="left" vertical="top" wrapText="1"/>
    </xf>
    <xf numFmtId="0" fontId="28" fillId="2" borderId="2" xfId="0" applyFont="1" applyFill="1" applyBorder="1" applyAlignment="1">
      <alignment horizontal="center" vertical="top" wrapText="1"/>
    </xf>
    <xf numFmtId="0" fontId="28" fillId="2" borderId="0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left" vertical="center" wrapText="1"/>
    </xf>
    <xf numFmtId="0" fontId="28" fillId="2" borderId="0" xfId="0" applyFont="1" applyFill="1" applyBorder="1" applyAlignment="1">
      <alignment horizontal="left" vertical="top" wrapText="1"/>
    </xf>
    <xf numFmtId="0" fontId="28" fillId="2" borderId="0" xfId="0" applyFont="1" applyFill="1" applyBorder="1" applyAlignment="1">
      <alignment horizontal="center" vertical="top" wrapText="1"/>
    </xf>
    <xf numFmtId="0" fontId="28" fillId="2" borderId="0" xfId="0" applyFont="1" applyFill="1"/>
    <xf numFmtId="0" fontId="28" fillId="2" borderId="0" xfId="0" applyFont="1" applyFill="1" applyAlignment="1">
      <alignment horizontal="left"/>
    </xf>
    <xf numFmtId="0" fontId="28" fillId="0" borderId="8" xfId="0" applyFont="1" applyBorder="1" applyAlignment="1">
      <alignment vertical="center" wrapText="1"/>
    </xf>
    <xf numFmtId="0" fontId="28" fillId="2" borderId="8" xfId="0" quotePrefix="1" applyFont="1" applyFill="1" applyBorder="1" applyAlignment="1">
      <alignment vertical="center" wrapText="1"/>
    </xf>
    <xf numFmtId="0" fontId="28" fillId="0" borderId="8" xfId="0" quotePrefix="1" applyFont="1" applyBorder="1" applyAlignment="1">
      <alignment vertical="center" wrapText="1"/>
    </xf>
    <xf numFmtId="0" fontId="28" fillId="0" borderId="0" xfId="0" applyFont="1" applyBorder="1" applyAlignment="1">
      <alignment vertical="center" wrapText="1"/>
    </xf>
    <xf numFmtId="0" fontId="28" fillId="0" borderId="0" xfId="0" applyFont="1" applyAlignment="1">
      <alignment horizontal="left"/>
    </xf>
    <xf numFmtId="0" fontId="0" fillId="0" borderId="24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" fillId="0" borderId="32" xfId="0" applyFont="1" applyBorder="1" applyAlignment="1">
      <alignment horizontal="center" vertical="center"/>
    </xf>
    <xf numFmtId="164" fontId="2" fillId="0" borderId="32" xfId="0" applyNumberFormat="1" applyFont="1" applyBorder="1" applyAlignment="1">
      <alignment vertical="center"/>
    </xf>
    <xf numFmtId="1" fontId="2" fillId="0" borderId="32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4" xfId="0" quotePrefix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43" xfId="0" applyFont="1" applyFill="1" applyBorder="1" applyAlignment="1">
      <alignment horizontal="center"/>
    </xf>
    <xf numFmtId="0" fontId="14" fillId="0" borderId="27" xfId="0" applyFont="1" applyBorder="1"/>
    <xf numFmtId="0" fontId="14" fillId="0" borderId="27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7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9" fillId="0" borderId="3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vertical="center" wrapText="1"/>
    </xf>
    <xf numFmtId="0" fontId="14" fillId="0" borderId="46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14" fillId="2" borderId="41" xfId="0" applyFont="1" applyFill="1" applyBorder="1" applyAlignment="1">
      <alignment horizontal="center"/>
    </xf>
    <xf numFmtId="0" fontId="14" fillId="2" borderId="46" xfId="0" applyFont="1" applyFill="1" applyBorder="1" applyAlignment="1">
      <alignment horizontal="center"/>
    </xf>
    <xf numFmtId="0" fontId="14" fillId="4" borderId="46" xfId="0" applyFont="1" applyFill="1" applyBorder="1" applyAlignment="1">
      <alignment horizontal="center"/>
    </xf>
    <xf numFmtId="0" fontId="14" fillId="0" borderId="18" xfId="0" applyFont="1" applyBorder="1" applyAlignment="1">
      <alignment horizontal="center" vertical="center"/>
    </xf>
    <xf numFmtId="0" fontId="14" fillId="0" borderId="41" xfId="0" applyFont="1" applyBorder="1"/>
    <xf numFmtId="0" fontId="14" fillId="4" borderId="18" xfId="0" applyFont="1" applyFill="1" applyBorder="1" applyAlignment="1">
      <alignment horizontal="center"/>
    </xf>
    <xf numFmtId="0" fontId="21" fillId="0" borderId="46" xfId="0" applyFont="1" applyBorder="1"/>
    <xf numFmtId="0" fontId="21" fillId="0" borderId="41" xfId="0" applyFont="1" applyBorder="1"/>
    <xf numFmtId="0" fontId="14" fillId="0" borderId="46" xfId="0" applyFont="1" applyBorder="1" applyAlignment="1">
      <alignment horizontal="center" wrapText="1"/>
    </xf>
    <xf numFmtId="0" fontId="14" fillId="0" borderId="41" xfId="0" applyFont="1" applyBorder="1" applyAlignment="1">
      <alignment wrapText="1"/>
    </xf>
    <xf numFmtId="0" fontId="14" fillId="2" borderId="41" xfId="0" applyFont="1" applyFill="1" applyBorder="1"/>
    <xf numFmtId="0" fontId="1" fillId="0" borderId="18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14" fillId="2" borderId="48" xfId="0" applyFont="1" applyFill="1" applyBorder="1" applyAlignment="1">
      <alignment horizontal="center"/>
    </xf>
    <xf numFmtId="0" fontId="14" fillId="2" borderId="49" xfId="0" applyFont="1" applyFill="1" applyBorder="1" applyAlignment="1">
      <alignment horizontal="center"/>
    </xf>
    <xf numFmtId="0" fontId="14" fillId="2" borderId="50" xfId="0" applyFont="1" applyFill="1" applyBorder="1" applyAlignment="1">
      <alignment horizontal="center"/>
    </xf>
    <xf numFmtId="0" fontId="14" fillId="0" borderId="49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2" borderId="51" xfId="0" quotePrefix="1" applyFont="1" applyFill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2" borderId="50" xfId="0" quotePrefix="1" applyFont="1" applyFill="1" applyBorder="1" applyAlignment="1">
      <alignment horizontal="center"/>
    </xf>
    <xf numFmtId="0" fontId="14" fillId="2" borderId="49" xfId="0" quotePrefix="1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4" fillId="0" borderId="49" xfId="0" quotePrefix="1" applyFont="1" applyBorder="1" applyAlignment="1">
      <alignment horizontal="center"/>
    </xf>
    <xf numFmtId="0" fontId="14" fillId="8" borderId="53" xfId="0" quotePrefix="1" applyFont="1" applyFill="1" applyBorder="1" applyAlignment="1">
      <alignment horizontal="center"/>
    </xf>
    <xf numFmtId="0" fontId="14" fillId="2" borderId="54" xfId="0" quotePrefix="1" applyFont="1" applyFill="1" applyBorder="1" applyAlignment="1">
      <alignment horizontal="center"/>
    </xf>
    <xf numFmtId="0" fontId="14" fillId="2" borderId="55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quotePrefix="1" applyFont="1" applyBorder="1" applyAlignment="1">
      <alignment vertical="center" wrapText="1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8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14" fillId="2" borderId="4" xfId="0" quotePrefix="1" applyFont="1" applyFill="1" applyBorder="1"/>
    <xf numFmtId="0" fontId="18" fillId="0" borderId="3" xfId="0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4" fillId="2" borderId="16" xfId="0" applyFont="1" applyFill="1" applyBorder="1" applyAlignment="1">
      <alignment horizontal="center"/>
    </xf>
    <xf numFmtId="0" fontId="14" fillId="0" borderId="4" xfId="0" applyFont="1" applyFill="1" applyBorder="1"/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14" fillId="2" borderId="9" xfId="0" quotePrefix="1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/>
    </xf>
    <xf numFmtId="0" fontId="14" fillId="9" borderId="9" xfId="0" applyFont="1" applyFill="1" applyBorder="1" applyAlignment="1">
      <alignment horizontal="center"/>
    </xf>
    <xf numFmtId="0" fontId="8" fillId="2" borderId="0" xfId="0" applyFont="1" applyFill="1" applyAlignment="1">
      <alignment vertical="center"/>
    </xf>
    <xf numFmtId="0" fontId="3" fillId="0" borderId="2" xfId="0" applyFont="1" applyBorder="1" applyAlignment="1">
      <alignment vertical="center" wrapText="1"/>
    </xf>
    <xf numFmtId="0" fontId="14" fillId="0" borderId="2" xfId="0" applyFont="1" applyBorder="1"/>
    <xf numFmtId="0" fontId="3" fillId="0" borderId="2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8" fillId="0" borderId="8" xfId="0" applyFont="1" applyBorder="1" applyAlignment="1">
      <alignment horizontal="left" vertical="top" wrapText="1"/>
    </xf>
    <xf numFmtId="0" fontId="28" fillId="0" borderId="3" xfId="0" applyFont="1" applyBorder="1" applyAlignment="1">
      <alignment vertical="top" wrapText="1"/>
    </xf>
    <xf numFmtId="0" fontId="28" fillId="2" borderId="4" xfId="0" quotePrefix="1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/>
    </xf>
    <xf numFmtId="0" fontId="21" fillId="2" borderId="46" xfId="0" applyFont="1" applyFill="1" applyBorder="1" applyAlignment="1">
      <alignment horizontal="center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3" xfId="0" applyBorder="1"/>
    <xf numFmtId="0" fontId="14" fillId="2" borderId="35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14" fillId="0" borderId="17" xfId="0" applyFont="1" applyBorder="1"/>
    <xf numFmtId="0" fontId="14" fillId="0" borderId="4" xfId="0" applyFont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10" borderId="3" xfId="0" applyFont="1" applyFill="1" applyBorder="1" applyAlignment="1">
      <alignment horizontal="center"/>
    </xf>
    <xf numFmtId="0" fontId="14" fillId="10" borderId="25" xfId="0" applyFont="1" applyFill="1" applyBorder="1" applyAlignment="1">
      <alignment horizontal="center"/>
    </xf>
    <xf numFmtId="0" fontId="14" fillId="10" borderId="45" xfId="0" applyFont="1" applyFill="1" applyBorder="1" applyAlignment="1">
      <alignment horizontal="center"/>
    </xf>
    <xf numFmtId="0" fontId="14" fillId="10" borderId="13" xfId="0" applyFont="1" applyFill="1" applyBorder="1" applyAlignment="1">
      <alignment horizontal="center"/>
    </xf>
    <xf numFmtId="0" fontId="14" fillId="10" borderId="12" xfId="0" applyFont="1" applyFill="1" applyBorder="1" applyAlignment="1">
      <alignment horizontal="center"/>
    </xf>
    <xf numFmtId="0" fontId="14" fillId="10" borderId="48" xfId="0" applyFont="1" applyFill="1" applyBorder="1" applyAlignment="1">
      <alignment horizontal="center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14" fillId="0" borderId="56" xfId="0" applyFont="1" applyBorder="1" applyAlignment="1">
      <alignment horizontal="center"/>
    </xf>
    <xf numFmtId="0" fontId="14" fillId="3" borderId="8" xfId="0" applyFont="1" applyFill="1" applyBorder="1"/>
    <xf numFmtId="0" fontId="14" fillId="3" borderId="8" xfId="0" applyFont="1" applyFill="1" applyBorder="1" applyAlignment="1">
      <alignment horizontal="center"/>
    </xf>
    <xf numFmtId="0" fontId="14" fillId="3" borderId="4" xfId="0" applyFont="1" applyFill="1" applyBorder="1"/>
    <xf numFmtId="0" fontId="14" fillId="3" borderId="4" xfId="0" applyFont="1" applyFill="1" applyBorder="1" applyAlignment="1">
      <alignment horizontal="center"/>
    </xf>
    <xf numFmtId="0" fontId="14" fillId="3" borderId="12" xfId="0" applyFont="1" applyFill="1" applyBorder="1"/>
    <xf numFmtId="0" fontId="14" fillId="3" borderId="12" xfId="0" applyFont="1" applyFill="1" applyBorder="1" applyAlignment="1">
      <alignment horizontal="center"/>
    </xf>
    <xf numFmtId="0" fontId="14" fillId="0" borderId="8" xfId="0" applyFont="1" applyFill="1" applyBorder="1"/>
    <xf numFmtId="0" fontId="0" fillId="0" borderId="1" xfId="0" applyBorder="1"/>
    <xf numFmtId="0" fontId="0" fillId="0" borderId="14" xfId="0" applyBorder="1"/>
    <xf numFmtId="0" fontId="3" fillId="0" borderId="8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9" fillId="0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7" fillId="0" borderId="3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8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9" fillId="0" borderId="3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8" fillId="2" borderId="3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vertical="top" wrapText="1"/>
    </xf>
    <xf numFmtId="0" fontId="18" fillId="2" borderId="0" xfId="0" applyFont="1" applyFill="1" applyAlignment="1">
      <alignment horizontal="center"/>
    </xf>
    <xf numFmtId="0" fontId="28" fillId="2" borderId="3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20" fillId="0" borderId="35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164" fontId="3" fillId="0" borderId="4" xfId="0" applyNumberFormat="1" applyFont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textRotation="90"/>
    </xf>
    <xf numFmtId="0" fontId="16" fillId="0" borderId="4" xfId="0" applyFont="1" applyBorder="1" applyAlignment="1">
      <alignment horizontal="center" vertical="center" textRotation="90"/>
    </xf>
    <xf numFmtId="0" fontId="16" fillId="0" borderId="8" xfId="0" applyFont="1" applyBorder="1" applyAlignment="1">
      <alignment horizontal="center" vertical="center" textRotation="90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 wrapText="1"/>
    </xf>
    <xf numFmtId="0" fontId="14" fillId="4" borderId="46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4" fillId="0" borderId="32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4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NUL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257175</xdr:colOff>
      <xdr:row>71</xdr:row>
      <xdr:rowOff>0</xdr:rowOff>
    </xdr:from>
    <xdr:to>
      <xdr:col>9</xdr:col>
      <xdr:colOff>381000</xdr:colOff>
      <xdr:row>77</xdr:row>
      <xdr:rowOff>76200</xdr:rowOff>
    </xdr:to>
    <xdr:pic>
      <xdr:nvPicPr>
        <xdr:cNvPr id="2" name="Picture 1" descr="C:\Users\Toshiba\Pictures\2020-01-14\Agus Widodo.JPG"/>
        <xdr:cNvPicPr/>
      </xdr:nvPicPr>
      <xdr:blipFill>
        <a:blip xmlns:r="http://schemas.openxmlformats.org/officeDocument/2006/relationships" r:embed="rId1" cstate="print">
          <a:clrChange>
            <a:clrFrom>
              <a:srgbClr val="FFFDE7"/>
            </a:clrFrom>
            <a:clrTo>
              <a:srgbClr val="FFFDE7">
                <a:alpha val="0"/>
              </a:srgbClr>
            </a:clrTo>
          </a:clrChange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4617" t="7864" r="23040" b="79339"/>
        <a:stretch>
          <a:fillRect/>
        </a:stretch>
      </xdr:blipFill>
      <xdr:spPr bwMode="auto">
        <a:xfrm>
          <a:off x="3362325" y="14020800"/>
          <a:ext cx="21240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889000</xdr:colOff>
      <xdr:row>27</xdr:row>
      <xdr:rowOff>0</xdr:rowOff>
    </xdr:from>
    <xdr:to>
      <xdr:col>4</xdr:col>
      <xdr:colOff>210609</xdr:colOff>
      <xdr:row>33</xdr:row>
      <xdr:rowOff>124883</xdr:rowOff>
    </xdr:to>
    <xdr:pic>
      <xdr:nvPicPr>
        <xdr:cNvPr id="2" name="Picture 1" descr="C:\Users\Toshiba\Pictures\2020-01-14\Agus Widodo.JPG"/>
        <xdr:cNvPicPr/>
      </xdr:nvPicPr>
      <xdr:blipFill>
        <a:blip xmlns:r="http://schemas.openxmlformats.org/officeDocument/2006/relationships" r:embed="rId1" cstate="print">
          <a:clrChange>
            <a:clrFrom>
              <a:srgbClr val="FFFDE7"/>
            </a:clrFrom>
            <a:clrTo>
              <a:srgbClr val="FFFDE7">
                <a:alpha val="0"/>
              </a:srgbClr>
            </a:clrTo>
          </a:clrChange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4617" t="7864" r="23040" b="79339"/>
        <a:stretch>
          <a:fillRect/>
        </a:stretch>
      </xdr:blipFill>
      <xdr:spPr bwMode="auto">
        <a:xfrm>
          <a:off x="3285067" y="8678333"/>
          <a:ext cx="21240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804333</xdr:colOff>
      <xdr:row>97</xdr:row>
      <xdr:rowOff>186267</xdr:rowOff>
    </xdr:from>
    <xdr:to>
      <xdr:col>4</xdr:col>
      <xdr:colOff>125942</xdr:colOff>
      <xdr:row>103</xdr:row>
      <xdr:rowOff>107950</xdr:rowOff>
    </xdr:to>
    <xdr:pic>
      <xdr:nvPicPr>
        <xdr:cNvPr id="3" name="Picture 2" descr="C:\Users\Toshiba\Pictures\2020-01-14\Agus Widodo.JPG"/>
        <xdr:cNvPicPr/>
      </xdr:nvPicPr>
      <xdr:blipFill>
        <a:blip xmlns:r="http://schemas.openxmlformats.org/officeDocument/2006/relationships" r:embed="rId1" cstate="print">
          <a:clrChange>
            <a:clrFrom>
              <a:srgbClr val="FFFDE7"/>
            </a:clrFrom>
            <a:clrTo>
              <a:srgbClr val="FFFDE7">
                <a:alpha val="0"/>
              </a:srgbClr>
            </a:clrTo>
          </a:clrChange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4617" t="7864" r="23040" b="79339"/>
        <a:stretch>
          <a:fillRect/>
        </a:stretch>
      </xdr:blipFill>
      <xdr:spPr bwMode="auto">
        <a:xfrm>
          <a:off x="3200400" y="20370800"/>
          <a:ext cx="21240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927340</xdr:colOff>
      <xdr:row>33</xdr:row>
      <xdr:rowOff>107830</xdr:rowOff>
    </xdr:from>
    <xdr:to>
      <xdr:col>3</xdr:col>
      <xdr:colOff>1541792</xdr:colOff>
      <xdr:row>40</xdr:row>
      <xdr:rowOff>126161</xdr:rowOff>
    </xdr:to>
    <xdr:pic>
      <xdr:nvPicPr>
        <xdr:cNvPr id="2" name="Picture 1" descr="C:\Users\Toshiba\Pictures\2020-01-14\Agus Widodo.JPG"/>
        <xdr:cNvPicPr/>
      </xdr:nvPicPr>
      <xdr:blipFill>
        <a:blip xmlns:r="http://schemas.openxmlformats.org/officeDocument/2006/relationships" r:embed="rId1" cstate="print">
          <a:clrChange>
            <a:clrFrom>
              <a:srgbClr val="FFFDE7"/>
            </a:clrFrom>
            <a:clrTo>
              <a:srgbClr val="FFFDE7">
                <a:alpha val="0"/>
              </a:srgbClr>
            </a:clrTo>
          </a:clrChange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colorTemperature colorTemp="8800"/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4617" t="7864" r="23040" b="79339"/>
        <a:stretch>
          <a:fillRect/>
        </a:stretch>
      </xdr:blipFill>
      <xdr:spPr bwMode="auto">
        <a:xfrm>
          <a:off x="3055189" y="6376358"/>
          <a:ext cx="21240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view="pageBreakPreview" topLeftCell="A52" zoomScale="80" zoomScaleNormal="110" zoomScaleSheetLayoutView="80" workbookViewId="0">
      <selection activeCell="K18" sqref="K18"/>
    </sheetView>
  </sheetViews>
  <sheetFormatPr defaultRowHeight="15.95" customHeight="1" x14ac:dyDescent="0.25"/>
  <cols>
    <col min="1" max="1" width="3.7109375" customWidth="1"/>
    <col min="2" max="2" width="26" customWidth="1"/>
    <col min="3" max="3" width="5" customWidth="1"/>
    <col min="4" max="4" width="10.7109375" customWidth="1"/>
    <col min="5" max="5" width="11.42578125" customWidth="1"/>
    <col min="6" max="6" width="4.5703125" customWidth="1"/>
    <col min="7" max="8" width="4.42578125" customWidth="1"/>
    <col min="9" max="9" width="4.28515625" customWidth="1"/>
    <col min="10" max="10" width="13.28515625" customWidth="1"/>
  </cols>
  <sheetData>
    <row r="1" spans="1:10" ht="15.95" customHeight="1" x14ac:dyDescent="0.25">
      <c r="C1" s="2" t="s">
        <v>224</v>
      </c>
      <c r="D1" s="2"/>
      <c r="E1" s="2" t="s">
        <v>83</v>
      </c>
    </row>
    <row r="2" spans="1:10" ht="15.95" customHeight="1" x14ac:dyDescent="0.25">
      <c r="E2" s="2" t="s">
        <v>84</v>
      </c>
      <c r="G2" s="2" t="s">
        <v>437</v>
      </c>
    </row>
    <row r="3" spans="1:10" ht="15.95" customHeight="1" x14ac:dyDescent="0.25">
      <c r="E3" s="2" t="s">
        <v>85</v>
      </c>
      <c r="G3" s="2" t="s">
        <v>86</v>
      </c>
    </row>
    <row r="4" spans="1:10" ht="15.95" customHeight="1" x14ac:dyDescent="0.25">
      <c r="E4" s="2" t="s">
        <v>87</v>
      </c>
      <c r="G4" s="2" t="s">
        <v>432</v>
      </c>
    </row>
    <row r="5" spans="1:10" ht="10.15" customHeight="1" x14ac:dyDescent="0.25">
      <c r="A5" s="2"/>
      <c r="G5" s="2"/>
    </row>
    <row r="6" spans="1:10" ht="15.95" customHeight="1" x14ac:dyDescent="0.25">
      <c r="A6" s="3" t="s">
        <v>433</v>
      </c>
    </row>
    <row r="7" spans="1:10" ht="10.15" customHeight="1" x14ac:dyDescent="0.25">
      <c r="A7" s="356"/>
    </row>
    <row r="8" spans="1:10" ht="15.95" customHeight="1" x14ac:dyDescent="0.25">
      <c r="A8" s="455" t="s">
        <v>1</v>
      </c>
      <c r="B8" s="455" t="s">
        <v>88</v>
      </c>
      <c r="C8" s="455" t="s">
        <v>89</v>
      </c>
      <c r="D8" s="455" t="s">
        <v>90</v>
      </c>
      <c r="E8" s="455" t="s">
        <v>91</v>
      </c>
      <c r="F8" s="455" t="s">
        <v>92</v>
      </c>
      <c r="G8" s="455"/>
      <c r="H8" s="455"/>
      <c r="I8" s="451" t="s">
        <v>93</v>
      </c>
      <c r="J8" s="451" t="s">
        <v>94</v>
      </c>
    </row>
    <row r="9" spans="1:10" ht="15.95" customHeight="1" x14ac:dyDescent="0.25">
      <c r="A9" s="455"/>
      <c r="B9" s="455"/>
      <c r="C9" s="455"/>
      <c r="D9" s="455"/>
      <c r="E9" s="455"/>
      <c r="F9" s="455"/>
      <c r="G9" s="455"/>
      <c r="H9" s="455"/>
      <c r="I9" s="459"/>
      <c r="J9" s="459"/>
    </row>
    <row r="10" spans="1:10" ht="12" customHeight="1" x14ac:dyDescent="0.25">
      <c r="A10" s="455"/>
      <c r="B10" s="455"/>
      <c r="C10" s="455"/>
      <c r="D10" s="455"/>
      <c r="E10" s="455"/>
      <c r="F10" s="348">
        <v>7</v>
      </c>
      <c r="G10" s="348">
        <v>8</v>
      </c>
      <c r="H10" s="348">
        <v>9</v>
      </c>
      <c r="I10" s="452"/>
      <c r="J10" s="452"/>
    </row>
    <row r="11" spans="1:10" ht="15.95" customHeight="1" x14ac:dyDescent="0.25">
      <c r="A11" s="455">
        <v>1</v>
      </c>
      <c r="B11" s="10" t="s">
        <v>276</v>
      </c>
      <c r="C11" s="458" t="s">
        <v>287</v>
      </c>
      <c r="D11" s="464" t="s">
        <v>288</v>
      </c>
      <c r="E11" s="458" t="s">
        <v>120</v>
      </c>
      <c r="F11" s="25"/>
      <c r="G11" s="25"/>
      <c r="H11" s="25"/>
      <c r="I11" s="346"/>
      <c r="J11" s="456" t="s">
        <v>97</v>
      </c>
    </row>
    <row r="12" spans="1:10" ht="15.95" customHeight="1" x14ac:dyDescent="0.25">
      <c r="A12" s="455"/>
      <c r="B12" s="106" t="s">
        <v>280</v>
      </c>
      <c r="C12" s="458"/>
      <c r="D12" s="464"/>
      <c r="E12" s="458"/>
      <c r="F12" s="26"/>
      <c r="G12" s="26"/>
      <c r="H12" s="26"/>
      <c r="I12" s="347"/>
      <c r="J12" s="457"/>
    </row>
    <row r="13" spans="1:10" ht="15.95" customHeight="1" x14ac:dyDescent="0.25">
      <c r="A13" s="455">
        <v>2</v>
      </c>
      <c r="B13" s="351" t="s">
        <v>266</v>
      </c>
      <c r="C13" s="458" t="s">
        <v>286</v>
      </c>
      <c r="D13" s="458" t="s">
        <v>242</v>
      </c>
      <c r="E13" s="351" t="s">
        <v>120</v>
      </c>
      <c r="F13" s="25">
        <v>8</v>
      </c>
      <c r="G13" s="25">
        <v>4</v>
      </c>
      <c r="H13" s="25"/>
      <c r="I13" s="346">
        <f>SUM(F13:H14)</f>
        <v>12</v>
      </c>
      <c r="J13" s="453" t="s">
        <v>258</v>
      </c>
    </row>
    <row r="14" spans="1:10" ht="15.95" customHeight="1" x14ac:dyDescent="0.25">
      <c r="A14" s="455"/>
      <c r="B14" s="162" t="s">
        <v>265</v>
      </c>
      <c r="C14" s="458"/>
      <c r="D14" s="458"/>
      <c r="E14" s="353"/>
      <c r="F14" s="26"/>
      <c r="G14" s="26"/>
      <c r="H14" s="26"/>
      <c r="I14" s="347"/>
      <c r="J14" s="454"/>
    </row>
    <row r="15" spans="1:10" ht="15.95" customHeight="1" x14ac:dyDescent="0.25">
      <c r="A15" s="455">
        <v>3</v>
      </c>
      <c r="B15" s="351" t="s">
        <v>238</v>
      </c>
      <c r="C15" s="458" t="s">
        <v>286</v>
      </c>
      <c r="D15" s="468" t="s">
        <v>239</v>
      </c>
      <c r="E15" s="267" t="s">
        <v>222</v>
      </c>
      <c r="F15" s="25"/>
      <c r="G15" s="25">
        <v>12</v>
      </c>
      <c r="H15" s="25">
        <v>12</v>
      </c>
      <c r="I15" s="346">
        <f>SUM(F15:H16)</f>
        <v>24</v>
      </c>
      <c r="J15" s="453" t="s">
        <v>448</v>
      </c>
    </row>
    <row r="16" spans="1:10" ht="15.95" customHeight="1" x14ac:dyDescent="0.25">
      <c r="A16" s="455"/>
      <c r="B16" s="353" t="s">
        <v>104</v>
      </c>
      <c r="C16" s="458"/>
      <c r="D16" s="469"/>
      <c r="E16" s="353"/>
      <c r="F16" s="26"/>
      <c r="G16" s="26"/>
      <c r="H16" s="26"/>
      <c r="I16" s="347"/>
      <c r="J16" s="454"/>
    </row>
    <row r="17" spans="1:10" ht="15.95" customHeight="1" x14ac:dyDescent="0.25">
      <c r="A17" s="455">
        <v>4</v>
      </c>
      <c r="B17" s="407" t="s">
        <v>254</v>
      </c>
      <c r="C17" s="458" t="s">
        <v>286</v>
      </c>
      <c r="D17" s="458" t="s">
        <v>136</v>
      </c>
      <c r="E17" s="407" t="s">
        <v>37</v>
      </c>
      <c r="F17" s="25"/>
      <c r="G17" s="25">
        <v>5</v>
      </c>
      <c r="H17" s="25">
        <v>20</v>
      </c>
      <c r="I17" s="405">
        <f>SUM(F17:H18)</f>
        <v>25</v>
      </c>
      <c r="J17" s="453" t="s">
        <v>305</v>
      </c>
    </row>
    <row r="18" spans="1:10" ht="15.95" customHeight="1" x14ac:dyDescent="0.25">
      <c r="A18" s="455"/>
      <c r="B18" s="408" t="s">
        <v>103</v>
      </c>
      <c r="C18" s="458"/>
      <c r="D18" s="458"/>
      <c r="E18" s="408"/>
      <c r="F18" s="26"/>
      <c r="G18" s="26"/>
      <c r="H18" s="26"/>
      <c r="I18" s="406"/>
      <c r="J18" s="454"/>
    </row>
    <row r="19" spans="1:10" ht="15.95" customHeight="1" x14ac:dyDescent="0.25">
      <c r="A19" s="455">
        <v>5</v>
      </c>
      <c r="B19" s="407" t="s">
        <v>105</v>
      </c>
      <c r="C19" s="458" t="s">
        <v>286</v>
      </c>
      <c r="D19" s="407" t="s">
        <v>106</v>
      </c>
      <c r="E19" s="407" t="s">
        <v>186</v>
      </c>
      <c r="F19" s="25">
        <v>12</v>
      </c>
      <c r="G19" s="169"/>
      <c r="H19" s="169">
        <v>8</v>
      </c>
      <c r="I19" s="362">
        <f>SUM(F19:H20)</f>
        <v>20</v>
      </c>
      <c r="J19" s="407" t="s">
        <v>188</v>
      </c>
    </row>
    <row r="20" spans="1:10" ht="15.95" customHeight="1" x14ac:dyDescent="0.25">
      <c r="A20" s="455"/>
      <c r="B20" s="408" t="s">
        <v>107</v>
      </c>
      <c r="C20" s="458"/>
      <c r="D20" s="408" t="s">
        <v>108</v>
      </c>
      <c r="E20" s="408"/>
      <c r="F20" s="26"/>
      <c r="G20" s="26"/>
      <c r="H20" s="26"/>
      <c r="I20" s="406"/>
      <c r="J20" s="408"/>
    </row>
    <row r="21" spans="1:10" ht="15.95" customHeight="1" x14ac:dyDescent="0.25">
      <c r="A21" s="455">
        <v>6</v>
      </c>
      <c r="B21" s="351" t="s">
        <v>237</v>
      </c>
      <c r="C21" s="458" t="s">
        <v>95</v>
      </c>
      <c r="D21" s="458" t="s">
        <v>240</v>
      </c>
      <c r="E21" s="453" t="s">
        <v>34</v>
      </c>
      <c r="F21" s="25"/>
      <c r="G21" s="25">
        <v>12</v>
      </c>
      <c r="H21" s="25">
        <v>12</v>
      </c>
      <c r="I21" s="346">
        <f>SUM(F21:H22)</f>
        <v>24</v>
      </c>
      <c r="J21" s="456" t="s">
        <v>455</v>
      </c>
    </row>
    <row r="22" spans="1:10" ht="15.95" customHeight="1" x14ac:dyDescent="0.25">
      <c r="A22" s="455"/>
      <c r="B22" s="353" t="s">
        <v>101</v>
      </c>
      <c r="C22" s="458"/>
      <c r="D22" s="458"/>
      <c r="E22" s="454"/>
      <c r="F22" s="26"/>
      <c r="G22" s="26"/>
      <c r="H22" s="26"/>
      <c r="I22" s="347"/>
      <c r="J22" s="457"/>
    </row>
    <row r="23" spans="1:10" ht="15.95" customHeight="1" x14ac:dyDescent="0.25">
      <c r="A23" s="455">
        <v>7</v>
      </c>
      <c r="B23" s="351" t="s">
        <v>102</v>
      </c>
      <c r="C23" s="458" t="s">
        <v>95</v>
      </c>
      <c r="D23" s="458" t="s">
        <v>247</v>
      </c>
      <c r="E23" s="351" t="s">
        <v>186</v>
      </c>
      <c r="F23" s="245"/>
      <c r="G23" s="25">
        <v>8</v>
      </c>
      <c r="H23" s="25"/>
      <c r="I23" s="362">
        <f>SUM(F23:H24)</f>
        <v>8</v>
      </c>
      <c r="J23" s="456" t="s">
        <v>297</v>
      </c>
    </row>
    <row r="24" spans="1:10" ht="15.95" customHeight="1" x14ac:dyDescent="0.25">
      <c r="A24" s="455"/>
      <c r="B24" s="353" t="s">
        <v>253</v>
      </c>
      <c r="C24" s="458"/>
      <c r="D24" s="458"/>
      <c r="E24" s="353"/>
      <c r="F24" s="26"/>
      <c r="G24" s="28"/>
      <c r="H24" s="26"/>
      <c r="I24" s="19"/>
      <c r="J24" s="457"/>
    </row>
    <row r="25" spans="1:10" ht="15.95" customHeight="1" x14ac:dyDescent="0.25">
      <c r="A25" s="451">
        <v>8</v>
      </c>
      <c r="B25" s="351" t="s">
        <v>118</v>
      </c>
      <c r="C25" s="453" t="s">
        <v>251</v>
      </c>
      <c r="D25" s="453" t="s">
        <v>290</v>
      </c>
      <c r="E25" s="351" t="s">
        <v>26</v>
      </c>
      <c r="F25" s="25"/>
      <c r="G25" s="25">
        <v>15</v>
      </c>
      <c r="H25" s="25"/>
      <c r="I25" s="346">
        <f>SUM(F25:H26)</f>
        <v>15</v>
      </c>
      <c r="J25" s="351" t="s">
        <v>221</v>
      </c>
    </row>
    <row r="26" spans="1:10" ht="15.95" customHeight="1" x14ac:dyDescent="0.25">
      <c r="A26" s="452"/>
      <c r="B26" s="353" t="s">
        <v>119</v>
      </c>
      <c r="C26" s="454"/>
      <c r="D26" s="454"/>
      <c r="E26" s="353"/>
      <c r="F26" s="26"/>
      <c r="G26" s="26"/>
      <c r="H26" s="28"/>
      <c r="I26" s="19"/>
      <c r="J26" s="353" t="s">
        <v>340</v>
      </c>
    </row>
    <row r="27" spans="1:10" ht="15.95" customHeight="1" x14ac:dyDescent="0.25">
      <c r="A27" s="455">
        <v>9</v>
      </c>
      <c r="B27" s="351" t="s">
        <v>387</v>
      </c>
      <c r="C27" s="453" t="s">
        <v>251</v>
      </c>
      <c r="D27" s="466" t="s">
        <v>289</v>
      </c>
      <c r="E27" s="351" t="s">
        <v>37</v>
      </c>
      <c r="F27" s="25">
        <v>20</v>
      </c>
      <c r="G27" s="25">
        <v>5</v>
      </c>
      <c r="H27" s="25"/>
      <c r="I27" s="346">
        <f>SUM(F27:H28)</f>
        <v>25</v>
      </c>
      <c r="J27" s="453" t="s">
        <v>337</v>
      </c>
    </row>
    <row r="28" spans="1:10" ht="15.95" customHeight="1" x14ac:dyDescent="0.25">
      <c r="A28" s="455"/>
      <c r="B28" s="353" t="s">
        <v>227</v>
      </c>
      <c r="C28" s="454"/>
      <c r="D28" s="467"/>
      <c r="E28" s="353"/>
      <c r="F28" s="26"/>
      <c r="G28" s="26"/>
      <c r="H28" s="26"/>
      <c r="I28" s="347"/>
      <c r="J28" s="454"/>
    </row>
    <row r="29" spans="1:10" ht="15.95" customHeight="1" x14ac:dyDescent="0.25">
      <c r="A29" s="455">
        <v>10</v>
      </c>
      <c r="B29" s="351" t="s">
        <v>115</v>
      </c>
      <c r="C29" s="453" t="s">
        <v>251</v>
      </c>
      <c r="D29" s="458" t="s">
        <v>116</v>
      </c>
      <c r="E29" s="351" t="s">
        <v>223</v>
      </c>
      <c r="F29" s="25">
        <v>12</v>
      </c>
      <c r="G29" s="25">
        <v>12</v>
      </c>
      <c r="H29" s="25"/>
      <c r="I29" s="346">
        <f>SUM(F29:H30)</f>
        <v>24</v>
      </c>
      <c r="J29" s="456" t="s">
        <v>449</v>
      </c>
    </row>
    <row r="30" spans="1:10" ht="15.95" customHeight="1" x14ac:dyDescent="0.25">
      <c r="A30" s="455"/>
      <c r="B30" s="353" t="s">
        <v>117</v>
      </c>
      <c r="C30" s="454"/>
      <c r="D30" s="458"/>
      <c r="E30" s="353"/>
      <c r="F30" s="26"/>
      <c r="G30" s="26"/>
      <c r="H30" s="26"/>
      <c r="I30" s="347"/>
      <c r="J30" s="457"/>
    </row>
    <row r="31" spans="1:10" ht="15.95" customHeight="1" x14ac:dyDescent="0.25">
      <c r="A31" s="455">
        <v>11</v>
      </c>
      <c r="B31" s="351" t="s">
        <v>110</v>
      </c>
      <c r="C31" s="453" t="s">
        <v>251</v>
      </c>
      <c r="D31" s="458" t="s">
        <v>111</v>
      </c>
      <c r="E31" s="351" t="s">
        <v>326</v>
      </c>
      <c r="F31" s="25"/>
      <c r="G31" s="25">
        <v>12</v>
      </c>
      <c r="H31" s="25">
        <v>12</v>
      </c>
      <c r="I31" s="346">
        <f>SUM(F31:H32)</f>
        <v>24</v>
      </c>
      <c r="J31" s="453" t="s">
        <v>451</v>
      </c>
    </row>
    <row r="32" spans="1:10" ht="15.95" customHeight="1" x14ac:dyDescent="0.25">
      <c r="A32" s="451"/>
      <c r="B32" s="388" t="s">
        <v>112</v>
      </c>
      <c r="C32" s="465"/>
      <c r="D32" s="456"/>
      <c r="E32" s="388"/>
      <c r="F32" s="27"/>
      <c r="G32" s="27"/>
      <c r="H32" s="29"/>
      <c r="I32" s="18"/>
      <c r="J32" s="465"/>
    </row>
    <row r="33" spans="1:10" ht="15.95" customHeight="1" x14ac:dyDescent="0.25">
      <c r="A33" s="406"/>
      <c r="B33" s="408"/>
      <c r="C33" s="409"/>
      <c r="D33" s="408"/>
      <c r="E33" s="408"/>
      <c r="F33" s="26"/>
      <c r="G33" s="26"/>
      <c r="H33" s="28"/>
      <c r="I33" s="19"/>
      <c r="J33" s="409" t="s">
        <v>450</v>
      </c>
    </row>
    <row r="34" spans="1:10" ht="15.95" customHeight="1" x14ac:dyDescent="0.25">
      <c r="A34" s="455">
        <v>12</v>
      </c>
      <c r="B34" s="351" t="s">
        <v>388</v>
      </c>
      <c r="C34" s="453" t="s">
        <v>251</v>
      </c>
      <c r="D34" s="464" t="s">
        <v>392</v>
      </c>
      <c r="E34" s="351" t="s">
        <v>96</v>
      </c>
      <c r="F34" s="25">
        <v>16</v>
      </c>
      <c r="G34" s="25">
        <v>8</v>
      </c>
      <c r="H34" s="25"/>
      <c r="I34" s="346">
        <f>SUM(F34:H35)</f>
        <v>24</v>
      </c>
      <c r="J34" s="453" t="s">
        <v>453</v>
      </c>
    </row>
    <row r="35" spans="1:10" ht="15.95" customHeight="1" x14ac:dyDescent="0.25">
      <c r="A35" s="455"/>
      <c r="B35" s="353" t="s">
        <v>114</v>
      </c>
      <c r="C35" s="454"/>
      <c r="D35" s="464"/>
      <c r="E35" s="353"/>
      <c r="F35" s="26"/>
      <c r="G35" s="26"/>
      <c r="H35" s="26"/>
      <c r="I35" s="347"/>
      <c r="J35" s="454"/>
    </row>
    <row r="36" spans="1:10" ht="15.95" customHeight="1" x14ac:dyDescent="0.25">
      <c r="A36" s="451">
        <v>13</v>
      </c>
      <c r="B36" s="351" t="s">
        <v>396</v>
      </c>
      <c r="C36" s="453" t="s">
        <v>251</v>
      </c>
      <c r="D36" s="351" t="s">
        <v>248</v>
      </c>
      <c r="E36" s="351" t="s">
        <v>120</v>
      </c>
      <c r="F36" s="25"/>
      <c r="G36" s="25">
        <v>4</v>
      </c>
      <c r="H36" s="25">
        <v>8</v>
      </c>
      <c r="I36" s="346">
        <f>SUM(F36:H37)</f>
        <v>12</v>
      </c>
      <c r="J36" s="351" t="s">
        <v>229</v>
      </c>
    </row>
    <row r="37" spans="1:10" ht="15.95" customHeight="1" x14ac:dyDescent="0.25">
      <c r="A37" s="459"/>
      <c r="B37" s="352" t="s">
        <v>121</v>
      </c>
      <c r="C37" s="465"/>
      <c r="D37" s="352" t="s">
        <v>122</v>
      </c>
      <c r="E37" s="352"/>
      <c r="F37" s="27"/>
      <c r="G37" s="29"/>
      <c r="H37" s="27"/>
      <c r="I37" s="18"/>
      <c r="J37" s="352" t="s">
        <v>354</v>
      </c>
    </row>
    <row r="38" spans="1:10" ht="15.95" customHeight="1" x14ac:dyDescent="0.25">
      <c r="A38" s="452"/>
      <c r="B38" s="353"/>
      <c r="C38" s="350"/>
      <c r="D38" s="353"/>
      <c r="E38" s="353"/>
      <c r="F38" s="26"/>
      <c r="G38" s="28"/>
      <c r="H38" s="26"/>
      <c r="I38" s="19"/>
      <c r="J38" s="352" t="s">
        <v>374</v>
      </c>
    </row>
    <row r="39" spans="1:10" ht="15.95" customHeight="1" x14ac:dyDescent="0.25">
      <c r="A39" s="455">
        <v>14</v>
      </c>
      <c r="B39" s="351" t="s">
        <v>180</v>
      </c>
      <c r="C39" s="453" t="s">
        <v>251</v>
      </c>
      <c r="D39" s="349" t="s">
        <v>109</v>
      </c>
      <c r="E39" s="351" t="s">
        <v>26</v>
      </c>
      <c r="F39" s="25"/>
      <c r="G39" s="25">
        <v>5</v>
      </c>
      <c r="H39" s="25">
        <v>20</v>
      </c>
      <c r="I39" s="346">
        <f>SUM(F39:H40)</f>
        <v>25</v>
      </c>
      <c r="J39" s="453" t="s">
        <v>454</v>
      </c>
    </row>
    <row r="40" spans="1:10" ht="15.95" customHeight="1" x14ac:dyDescent="0.25">
      <c r="A40" s="451"/>
      <c r="B40" s="352" t="s">
        <v>123</v>
      </c>
      <c r="C40" s="454"/>
      <c r="D40" s="354"/>
      <c r="E40" s="352"/>
      <c r="F40" s="27"/>
      <c r="G40" s="27"/>
      <c r="H40" s="27"/>
      <c r="I40" s="355"/>
      <c r="J40" s="454"/>
    </row>
    <row r="41" spans="1:10" ht="15.95" customHeight="1" x14ac:dyDescent="0.25">
      <c r="A41" s="451">
        <v>15</v>
      </c>
      <c r="B41" s="266" t="s">
        <v>389</v>
      </c>
      <c r="C41" s="453" t="s">
        <v>251</v>
      </c>
      <c r="D41" s="466" t="s">
        <v>391</v>
      </c>
      <c r="E41" s="267" t="s">
        <v>312</v>
      </c>
      <c r="F41" s="25">
        <v>12</v>
      </c>
      <c r="G41" s="25"/>
      <c r="H41" s="25">
        <v>12</v>
      </c>
      <c r="I41" s="346">
        <f>SUM(F41:H42)</f>
        <v>24</v>
      </c>
      <c r="J41" s="349" t="s">
        <v>456</v>
      </c>
    </row>
    <row r="42" spans="1:10" ht="15.95" customHeight="1" x14ac:dyDescent="0.25">
      <c r="A42" s="452"/>
      <c r="B42" s="162" t="s">
        <v>310</v>
      </c>
      <c r="C42" s="454"/>
      <c r="D42" s="467"/>
      <c r="E42" s="353"/>
      <c r="F42" s="26"/>
      <c r="G42" s="26"/>
      <c r="H42" s="26"/>
      <c r="I42" s="347"/>
      <c r="J42" s="350" t="s">
        <v>190</v>
      </c>
    </row>
    <row r="43" spans="1:10" ht="15.95" customHeight="1" x14ac:dyDescent="0.25">
      <c r="A43" s="455">
        <v>16</v>
      </c>
      <c r="B43" s="351" t="s">
        <v>126</v>
      </c>
      <c r="C43" s="458" t="s">
        <v>373</v>
      </c>
      <c r="D43" s="458" t="s">
        <v>127</v>
      </c>
      <c r="E43" s="351" t="s">
        <v>39</v>
      </c>
      <c r="F43" s="169">
        <v>12</v>
      </c>
      <c r="G43" s="25"/>
      <c r="H43" s="25">
        <v>12</v>
      </c>
      <c r="I43" s="346">
        <f>SUM(F43:H44)</f>
        <v>24</v>
      </c>
      <c r="J43" s="351" t="s">
        <v>273</v>
      </c>
    </row>
    <row r="44" spans="1:10" ht="15.95" customHeight="1" x14ac:dyDescent="0.25">
      <c r="A44" s="455"/>
      <c r="B44" s="33" t="s">
        <v>192</v>
      </c>
      <c r="C44" s="458"/>
      <c r="D44" s="458"/>
      <c r="E44" s="353"/>
      <c r="F44" s="26"/>
      <c r="G44" s="26"/>
      <c r="H44" s="26"/>
      <c r="I44" s="347"/>
      <c r="J44" s="353" t="s">
        <v>370</v>
      </c>
    </row>
    <row r="45" spans="1:10" ht="15.95" customHeight="1" x14ac:dyDescent="0.25">
      <c r="A45" s="455">
        <v>17</v>
      </c>
      <c r="B45" s="351" t="s">
        <v>128</v>
      </c>
      <c r="C45" s="458" t="s">
        <v>225</v>
      </c>
      <c r="D45" s="458" t="s">
        <v>129</v>
      </c>
      <c r="E45" s="351" t="s">
        <v>43</v>
      </c>
      <c r="F45" s="25"/>
      <c r="G45" s="30">
        <v>12</v>
      </c>
      <c r="H45" s="25">
        <v>12</v>
      </c>
      <c r="I45" s="131">
        <f>SUM(F45:H46)</f>
        <v>24</v>
      </c>
      <c r="J45" s="351" t="s">
        <v>368</v>
      </c>
    </row>
    <row r="46" spans="1:10" ht="15.95" customHeight="1" x14ac:dyDescent="0.25">
      <c r="A46" s="455"/>
      <c r="B46" s="33" t="s">
        <v>193</v>
      </c>
      <c r="C46" s="458"/>
      <c r="D46" s="458"/>
      <c r="E46" s="338"/>
      <c r="F46" s="26"/>
      <c r="G46" s="26"/>
      <c r="H46" s="26"/>
      <c r="I46" s="347"/>
      <c r="J46" s="353" t="s">
        <v>190</v>
      </c>
    </row>
    <row r="47" spans="1:10" ht="15.95" customHeight="1" x14ac:dyDescent="0.25">
      <c r="A47" s="455">
        <v>18</v>
      </c>
      <c r="B47" s="351" t="s">
        <v>235</v>
      </c>
      <c r="C47" s="458" t="s">
        <v>225</v>
      </c>
      <c r="D47" s="458" t="s">
        <v>113</v>
      </c>
      <c r="E47" s="351" t="s">
        <v>96</v>
      </c>
      <c r="F47" s="25"/>
      <c r="G47" s="25">
        <v>8</v>
      </c>
      <c r="H47" s="25">
        <v>16</v>
      </c>
      <c r="I47" s="346">
        <f>SUM(F47:H48)</f>
        <v>24</v>
      </c>
      <c r="J47" s="453" t="s">
        <v>457</v>
      </c>
    </row>
    <row r="48" spans="1:10" ht="15.95" customHeight="1" x14ac:dyDescent="0.25">
      <c r="A48" s="451"/>
      <c r="B48" s="121" t="s">
        <v>194</v>
      </c>
      <c r="C48" s="456"/>
      <c r="D48" s="456"/>
      <c r="E48" s="339"/>
      <c r="F48" s="245"/>
      <c r="G48" s="245"/>
      <c r="H48" s="246"/>
      <c r="I48" s="246"/>
      <c r="J48" s="454"/>
    </row>
    <row r="49" spans="1:10" ht="15.95" customHeight="1" x14ac:dyDescent="0.25">
      <c r="A49" s="451">
        <v>19</v>
      </c>
      <c r="B49" s="351" t="s">
        <v>261</v>
      </c>
      <c r="C49" s="458" t="s">
        <v>225</v>
      </c>
      <c r="D49" s="453" t="s">
        <v>262</v>
      </c>
      <c r="E49" s="351" t="s">
        <v>29</v>
      </c>
      <c r="F49" s="25">
        <v>8</v>
      </c>
      <c r="G49" s="25"/>
      <c r="H49" s="25">
        <v>16</v>
      </c>
      <c r="I49" s="346">
        <f>SUM(F49:H50)</f>
        <v>24</v>
      </c>
      <c r="J49" s="351" t="s">
        <v>377</v>
      </c>
    </row>
    <row r="50" spans="1:10" ht="15.95" customHeight="1" x14ac:dyDescent="0.25">
      <c r="A50" s="452"/>
      <c r="B50" s="353" t="s">
        <v>264</v>
      </c>
      <c r="C50" s="458"/>
      <c r="D50" s="454"/>
      <c r="E50" s="353"/>
      <c r="F50" s="26"/>
      <c r="G50" s="26"/>
      <c r="H50" s="26"/>
      <c r="I50" s="347"/>
      <c r="J50" s="353" t="s">
        <v>190</v>
      </c>
    </row>
    <row r="53" spans="1:10" ht="15.95" customHeight="1" x14ac:dyDescent="0.25">
      <c r="A53" s="462">
        <v>20</v>
      </c>
      <c r="B53" s="333" t="s">
        <v>375</v>
      </c>
      <c r="C53" s="458" t="s">
        <v>225</v>
      </c>
      <c r="D53" s="460" t="s">
        <v>376</v>
      </c>
      <c r="E53" s="333" t="s">
        <v>26</v>
      </c>
      <c r="F53" s="337">
        <v>20</v>
      </c>
      <c r="G53" s="337"/>
      <c r="H53" s="337"/>
      <c r="I53" s="337">
        <f>SUM(F53:H54)</f>
        <v>25</v>
      </c>
      <c r="J53" s="333" t="s">
        <v>371</v>
      </c>
    </row>
    <row r="54" spans="1:10" ht="15.95" customHeight="1" x14ac:dyDescent="0.25">
      <c r="A54" s="463"/>
      <c r="B54" s="335" t="s">
        <v>324</v>
      </c>
      <c r="C54" s="458"/>
      <c r="D54" s="461"/>
      <c r="E54" s="335" t="s">
        <v>37</v>
      </c>
      <c r="F54" s="336"/>
      <c r="G54" s="336">
        <v>5</v>
      </c>
      <c r="H54" s="336"/>
      <c r="I54" s="335"/>
      <c r="J54" s="335"/>
    </row>
    <row r="55" spans="1:10" ht="15.95" customHeight="1" x14ac:dyDescent="0.25">
      <c r="A55" s="451">
        <v>21</v>
      </c>
      <c r="B55" s="351" t="s">
        <v>130</v>
      </c>
      <c r="C55" s="458" t="s">
        <v>14</v>
      </c>
      <c r="D55" s="458" t="s">
        <v>131</v>
      </c>
      <c r="E55" s="351" t="s">
        <v>191</v>
      </c>
      <c r="F55" s="161"/>
      <c r="G55" s="161"/>
      <c r="H55" s="161"/>
      <c r="I55" s="161"/>
      <c r="J55" s="451"/>
    </row>
    <row r="56" spans="1:10" ht="15.95" customHeight="1" x14ac:dyDescent="0.25">
      <c r="A56" s="452"/>
      <c r="B56" s="353" t="s">
        <v>336</v>
      </c>
      <c r="C56" s="458"/>
      <c r="D56" s="458"/>
      <c r="E56" s="353"/>
      <c r="F56" s="26"/>
      <c r="G56" s="26"/>
      <c r="H56" s="26"/>
      <c r="I56" s="347"/>
      <c r="J56" s="452"/>
    </row>
    <row r="57" spans="1:10" ht="15.95" customHeight="1" x14ac:dyDescent="0.25">
      <c r="A57" s="451">
        <v>22</v>
      </c>
      <c r="B57" s="351" t="s">
        <v>134</v>
      </c>
      <c r="C57" s="458" t="s">
        <v>14</v>
      </c>
      <c r="D57" s="458" t="s">
        <v>408</v>
      </c>
      <c r="E57" s="359" t="s">
        <v>173</v>
      </c>
      <c r="F57" s="25">
        <v>4</v>
      </c>
      <c r="G57" s="25"/>
      <c r="H57" s="25">
        <v>4</v>
      </c>
      <c r="I57" s="346">
        <f>SUM(F57:H59)</f>
        <v>20</v>
      </c>
      <c r="J57" s="386" t="s">
        <v>484</v>
      </c>
    </row>
    <row r="58" spans="1:10" ht="15.95" customHeight="1" x14ac:dyDescent="0.25">
      <c r="A58" s="459"/>
      <c r="B58" s="360" t="s">
        <v>402</v>
      </c>
      <c r="C58" s="458"/>
      <c r="D58" s="458"/>
      <c r="E58" s="360" t="s">
        <v>222</v>
      </c>
      <c r="F58" s="27">
        <v>12</v>
      </c>
      <c r="G58" s="27"/>
      <c r="H58" s="27"/>
      <c r="I58" s="358"/>
      <c r="J58" s="388"/>
    </row>
    <row r="59" spans="1:10" ht="15.95" customHeight="1" x14ac:dyDescent="0.25">
      <c r="A59" s="452"/>
      <c r="B59" s="361"/>
      <c r="C59" s="458"/>
      <c r="D59" s="458"/>
      <c r="E59" s="361"/>
      <c r="F59" s="26"/>
      <c r="G59" s="26"/>
      <c r="H59" s="28"/>
      <c r="I59" s="19"/>
      <c r="J59" s="387"/>
    </row>
    <row r="60" spans="1:10" ht="15.95" customHeight="1" x14ac:dyDescent="0.25">
      <c r="A60" s="451">
        <v>23</v>
      </c>
      <c r="B60" s="351" t="s">
        <v>404</v>
      </c>
      <c r="C60" s="458" t="s">
        <v>14</v>
      </c>
      <c r="D60" s="453" t="s">
        <v>409</v>
      </c>
      <c r="E60" s="359" t="s">
        <v>29</v>
      </c>
      <c r="F60" s="25">
        <v>8</v>
      </c>
      <c r="G60" s="25">
        <v>16</v>
      </c>
      <c r="H60" s="25"/>
      <c r="I60" s="346">
        <f>SUM(F60:H61)</f>
        <v>24</v>
      </c>
      <c r="J60" s="456" t="s">
        <v>458</v>
      </c>
    </row>
    <row r="61" spans="1:10" ht="15.95" customHeight="1" x14ac:dyDescent="0.25">
      <c r="A61" s="452"/>
      <c r="B61" s="353" t="s">
        <v>403</v>
      </c>
      <c r="C61" s="458"/>
      <c r="D61" s="454"/>
      <c r="E61" s="361"/>
      <c r="F61" s="26"/>
      <c r="G61" s="26"/>
      <c r="H61" s="28"/>
      <c r="I61" s="19"/>
      <c r="J61" s="457"/>
    </row>
    <row r="62" spans="1:10" ht="15.95" customHeight="1" x14ac:dyDescent="0.25">
      <c r="A62" s="451">
        <v>24</v>
      </c>
      <c r="B62" s="351" t="s">
        <v>410</v>
      </c>
      <c r="C62" s="458" t="s">
        <v>14</v>
      </c>
      <c r="D62" s="458" t="s">
        <v>411</v>
      </c>
      <c r="E62" s="359" t="s">
        <v>326</v>
      </c>
      <c r="F62" s="25">
        <v>12</v>
      </c>
      <c r="G62" s="25"/>
      <c r="H62" s="25"/>
      <c r="I62" s="346">
        <f>SUM(F62:H63)</f>
        <v>17</v>
      </c>
      <c r="J62" s="456" t="s">
        <v>459</v>
      </c>
    </row>
    <row r="63" spans="1:10" ht="15.95" customHeight="1" x14ac:dyDescent="0.25">
      <c r="A63" s="452"/>
      <c r="B63" s="353" t="s">
        <v>405</v>
      </c>
      <c r="C63" s="458"/>
      <c r="D63" s="458"/>
      <c r="E63" s="361" t="s">
        <v>37</v>
      </c>
      <c r="F63" s="26"/>
      <c r="G63" s="26">
        <v>5</v>
      </c>
      <c r="H63" s="28"/>
      <c r="I63" s="19"/>
      <c r="J63" s="457"/>
    </row>
    <row r="64" spans="1:10" ht="15.95" customHeight="1" x14ac:dyDescent="0.25">
      <c r="A64" s="451">
        <v>25</v>
      </c>
      <c r="B64" s="351" t="s">
        <v>406</v>
      </c>
      <c r="C64" s="458" t="s">
        <v>14</v>
      </c>
      <c r="D64" s="458" t="s">
        <v>412</v>
      </c>
      <c r="E64" s="359" t="s">
        <v>257</v>
      </c>
      <c r="F64" s="25">
        <v>8</v>
      </c>
      <c r="G64" s="25">
        <v>4</v>
      </c>
      <c r="H64" s="25">
        <v>8</v>
      </c>
      <c r="I64" s="346">
        <f>SUM(F64:H65)</f>
        <v>20</v>
      </c>
      <c r="J64" s="386" t="s">
        <v>369</v>
      </c>
    </row>
    <row r="65" spans="1:10" ht="15.95" customHeight="1" x14ac:dyDescent="0.25">
      <c r="A65" s="452"/>
      <c r="B65" s="353" t="s">
        <v>407</v>
      </c>
      <c r="C65" s="458"/>
      <c r="D65" s="458"/>
      <c r="E65" s="361"/>
      <c r="F65" s="26"/>
      <c r="G65" s="26"/>
      <c r="H65" s="28"/>
      <c r="I65" s="19"/>
      <c r="J65" s="387"/>
    </row>
    <row r="66" spans="1:10" ht="15.95" customHeight="1" x14ac:dyDescent="0.25">
      <c r="A66" s="451">
        <v>26</v>
      </c>
      <c r="B66" s="388" t="s">
        <v>133</v>
      </c>
      <c r="C66" s="417"/>
      <c r="D66" s="453" t="s">
        <v>480</v>
      </c>
      <c r="E66" s="388" t="s">
        <v>257</v>
      </c>
      <c r="F66" s="27"/>
      <c r="G66" s="27">
        <v>4</v>
      </c>
      <c r="H66" s="29"/>
      <c r="I66" s="18">
        <v>4</v>
      </c>
      <c r="J66" s="388"/>
    </row>
    <row r="67" spans="1:10" ht="15.95" customHeight="1" x14ac:dyDescent="0.25">
      <c r="A67" s="452"/>
      <c r="B67" s="388"/>
      <c r="C67" s="418"/>
      <c r="D67" s="454"/>
      <c r="E67" s="388"/>
      <c r="F67" s="27"/>
      <c r="G67" s="27"/>
      <c r="H67" s="29"/>
      <c r="I67" s="18"/>
      <c r="J67" s="388"/>
    </row>
    <row r="68" spans="1:10" ht="15.95" customHeight="1" x14ac:dyDescent="0.25">
      <c r="A68" s="451">
        <v>27</v>
      </c>
      <c r="B68" s="351" t="s">
        <v>250</v>
      </c>
      <c r="C68" s="351"/>
      <c r="D68" s="453" t="s">
        <v>249</v>
      </c>
      <c r="E68" s="351" t="s">
        <v>39</v>
      </c>
      <c r="F68" s="25"/>
      <c r="G68" s="25">
        <v>12</v>
      </c>
      <c r="H68" s="25"/>
      <c r="I68" s="346">
        <f>SUM(F68:H69)</f>
        <v>16</v>
      </c>
      <c r="J68" s="351"/>
    </row>
    <row r="69" spans="1:10" ht="15.95" customHeight="1" x14ac:dyDescent="0.25">
      <c r="A69" s="452"/>
      <c r="B69" s="352" t="s">
        <v>125</v>
      </c>
      <c r="C69" s="353"/>
      <c r="D69" s="454"/>
      <c r="E69" s="353" t="s">
        <v>173</v>
      </c>
      <c r="F69" s="27"/>
      <c r="G69" s="27">
        <v>4</v>
      </c>
      <c r="H69" s="27"/>
      <c r="I69" s="355"/>
      <c r="J69" s="352"/>
    </row>
    <row r="70" spans="1:10" ht="15.95" customHeight="1" x14ac:dyDescent="0.25">
      <c r="A70" s="455" t="s">
        <v>135</v>
      </c>
      <c r="B70" s="455"/>
      <c r="C70" s="455"/>
      <c r="D70" s="455"/>
      <c r="E70" s="455"/>
      <c r="F70" s="451">
        <f>SUM(F11:F69)</f>
        <v>164</v>
      </c>
      <c r="G70" s="451">
        <f>SUM(G11:G69)</f>
        <v>172</v>
      </c>
      <c r="H70" s="451">
        <f>SUM(H11:H69)</f>
        <v>172</v>
      </c>
      <c r="I70" s="451">
        <f>SUM(I11:I69)</f>
        <v>508</v>
      </c>
      <c r="J70" s="351"/>
    </row>
    <row r="71" spans="1:10" ht="15.95" customHeight="1" x14ac:dyDescent="0.25">
      <c r="A71" s="455"/>
      <c r="B71" s="455"/>
      <c r="C71" s="455"/>
      <c r="D71" s="455"/>
      <c r="E71" s="455"/>
      <c r="F71" s="452"/>
      <c r="G71" s="452"/>
      <c r="H71" s="452"/>
      <c r="I71" s="452"/>
      <c r="J71" s="353"/>
    </row>
    <row r="72" spans="1:10" ht="15.95" customHeight="1" x14ac:dyDescent="0.25">
      <c r="A72" s="34"/>
      <c r="B72" s="4"/>
      <c r="C72" s="4"/>
      <c r="D72" s="4"/>
      <c r="E72" s="4"/>
      <c r="F72" s="4"/>
      <c r="G72" s="4"/>
      <c r="H72" s="4"/>
      <c r="I72" s="4"/>
      <c r="J72" s="4"/>
    </row>
    <row r="73" spans="1:10" ht="15.95" customHeight="1" x14ac:dyDescent="0.25">
      <c r="B73" s="4"/>
      <c r="C73" s="4"/>
      <c r="D73" s="4"/>
      <c r="E73" s="4"/>
      <c r="F73" s="36" t="s">
        <v>82</v>
      </c>
      <c r="G73" s="4"/>
      <c r="H73" s="4"/>
      <c r="I73" s="4"/>
      <c r="J73" s="4"/>
    </row>
    <row r="74" spans="1:10" ht="15.95" customHeight="1" x14ac:dyDescent="0.25">
      <c r="A74" s="5"/>
      <c r="B74" s="4"/>
      <c r="C74" s="4"/>
      <c r="D74" s="4"/>
      <c r="E74" s="4"/>
      <c r="F74" s="4"/>
      <c r="G74" s="4"/>
      <c r="H74" s="4"/>
      <c r="I74" s="4"/>
      <c r="J74" s="4"/>
    </row>
    <row r="75" spans="1:10" ht="15.95" customHeight="1" x14ac:dyDescent="0.25">
      <c r="A75" s="5"/>
      <c r="B75" s="4"/>
      <c r="C75" s="4"/>
      <c r="D75" s="4"/>
      <c r="E75" s="4"/>
      <c r="F75" s="4"/>
      <c r="G75" s="4"/>
      <c r="H75" s="4"/>
      <c r="I75" s="4"/>
      <c r="J75" s="4"/>
    </row>
    <row r="76" spans="1:10" ht="15.95" customHeight="1" x14ac:dyDescent="0.25">
      <c r="A76" s="4"/>
      <c r="B76" s="4"/>
      <c r="C76" s="4"/>
      <c r="D76" s="4"/>
      <c r="E76" s="4"/>
      <c r="F76" s="106" t="s">
        <v>276</v>
      </c>
      <c r="G76" s="4"/>
      <c r="H76" s="4"/>
      <c r="I76" s="4"/>
    </row>
    <row r="77" spans="1:10" ht="15.95" customHeight="1" x14ac:dyDescent="0.25">
      <c r="F77" s="106" t="s">
        <v>481</v>
      </c>
    </row>
  </sheetData>
  <mergeCells count="106">
    <mergeCell ref="J47:J48"/>
    <mergeCell ref="A8:A10"/>
    <mergeCell ref="B8:B10"/>
    <mergeCell ref="C8:C10"/>
    <mergeCell ref="D8:D10"/>
    <mergeCell ref="E8:E10"/>
    <mergeCell ref="F8:H9"/>
    <mergeCell ref="I8:I10"/>
    <mergeCell ref="J8:J10"/>
    <mergeCell ref="A11:A12"/>
    <mergeCell ref="C11:C12"/>
    <mergeCell ref="D11:D12"/>
    <mergeCell ref="E11:E12"/>
    <mergeCell ref="J11:J12"/>
    <mergeCell ref="A13:A14"/>
    <mergeCell ref="C13:C14"/>
    <mergeCell ref="D13:D14"/>
    <mergeCell ref="J13:J14"/>
    <mergeCell ref="A15:A16"/>
    <mergeCell ref="C15:C16"/>
    <mergeCell ref="D15:D16"/>
    <mergeCell ref="A21:A22"/>
    <mergeCell ref="C21:C22"/>
    <mergeCell ref="D21:D22"/>
    <mergeCell ref="E21:E22"/>
    <mergeCell ref="J21:J22"/>
    <mergeCell ref="J15:J16"/>
    <mergeCell ref="A23:A24"/>
    <mergeCell ref="C23:C24"/>
    <mergeCell ref="D23:D24"/>
    <mergeCell ref="J23:J24"/>
    <mergeCell ref="A17:A18"/>
    <mergeCell ref="C17:C18"/>
    <mergeCell ref="D17:D18"/>
    <mergeCell ref="J17:J18"/>
    <mergeCell ref="A19:A20"/>
    <mergeCell ref="C19:C20"/>
    <mergeCell ref="A29:A30"/>
    <mergeCell ref="C29:C30"/>
    <mergeCell ref="D29:D30"/>
    <mergeCell ref="J29:J30"/>
    <mergeCell ref="A31:A32"/>
    <mergeCell ref="C31:C32"/>
    <mergeCell ref="D31:D32"/>
    <mergeCell ref="A25:A26"/>
    <mergeCell ref="C25:C26"/>
    <mergeCell ref="D25:D26"/>
    <mergeCell ref="A27:A28"/>
    <mergeCell ref="C27:C28"/>
    <mergeCell ref="D27:D28"/>
    <mergeCell ref="J27:J28"/>
    <mergeCell ref="A34:A35"/>
    <mergeCell ref="C34:C35"/>
    <mergeCell ref="D34:D35"/>
    <mergeCell ref="J31:J32"/>
    <mergeCell ref="J34:J35"/>
    <mergeCell ref="A39:A40"/>
    <mergeCell ref="C39:C40"/>
    <mergeCell ref="A41:A42"/>
    <mergeCell ref="C41:C42"/>
    <mergeCell ref="D41:D42"/>
    <mergeCell ref="A36:A38"/>
    <mergeCell ref="C36:C37"/>
    <mergeCell ref="J39:J40"/>
    <mergeCell ref="A43:A44"/>
    <mergeCell ref="C43:C44"/>
    <mergeCell ref="D43:D44"/>
    <mergeCell ref="A45:A46"/>
    <mergeCell ref="C45:C46"/>
    <mergeCell ref="D45:D46"/>
    <mergeCell ref="A47:A48"/>
    <mergeCell ref="C47:C48"/>
    <mergeCell ref="D47:D48"/>
    <mergeCell ref="A49:A50"/>
    <mergeCell ref="C49:C50"/>
    <mergeCell ref="D49:D50"/>
    <mergeCell ref="C53:C54"/>
    <mergeCell ref="D53:D54"/>
    <mergeCell ref="A55:A56"/>
    <mergeCell ref="C55:C56"/>
    <mergeCell ref="D55:D56"/>
    <mergeCell ref="J55:J56"/>
    <mergeCell ref="A53:A54"/>
    <mergeCell ref="A57:A59"/>
    <mergeCell ref="C57:C59"/>
    <mergeCell ref="D57:D59"/>
    <mergeCell ref="A60:A61"/>
    <mergeCell ref="C60:C61"/>
    <mergeCell ref="D60:D61"/>
    <mergeCell ref="J60:J61"/>
    <mergeCell ref="A62:A63"/>
    <mergeCell ref="C62:C63"/>
    <mergeCell ref="D62:D63"/>
    <mergeCell ref="A68:A69"/>
    <mergeCell ref="D68:D69"/>
    <mergeCell ref="A70:E71"/>
    <mergeCell ref="F70:F71"/>
    <mergeCell ref="G70:G71"/>
    <mergeCell ref="H70:H71"/>
    <mergeCell ref="I70:I71"/>
    <mergeCell ref="J62:J63"/>
    <mergeCell ref="A64:A65"/>
    <mergeCell ref="C64:C65"/>
    <mergeCell ref="D64:D65"/>
    <mergeCell ref="A66:A67"/>
    <mergeCell ref="D66:D67"/>
  </mergeCells>
  <pageMargins left="1.1023622047244095" right="0.47244094488188981" top="0.9055118110236221" bottom="1.8110236220472442" header="0.31496062992125984" footer="0.31496062992125984"/>
  <pageSetup paperSize="5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4" zoomScale="60" zoomScaleNormal="60" workbookViewId="0">
      <selection activeCell="H15" sqref="H15"/>
    </sheetView>
  </sheetViews>
  <sheetFormatPr defaultColWidth="9.140625" defaultRowHeight="15" x14ac:dyDescent="0.25"/>
  <cols>
    <col min="1" max="1" width="5.140625" style="112" customWidth="1"/>
    <col min="2" max="2" width="9" style="112" customWidth="1"/>
    <col min="3" max="3" width="32.42578125" style="112" customWidth="1"/>
    <col min="4" max="4" width="14.28515625" style="112" customWidth="1"/>
    <col min="5" max="16384" width="9.140625" style="112"/>
  </cols>
  <sheetData>
    <row r="1" spans="1:4" ht="18.75" x14ac:dyDescent="0.3">
      <c r="A1" s="470" t="s">
        <v>142</v>
      </c>
      <c r="B1" s="470"/>
      <c r="C1" s="470"/>
      <c r="D1" s="470"/>
    </row>
    <row r="2" spans="1:4" ht="18.75" x14ac:dyDescent="0.3">
      <c r="A2" s="470" t="s">
        <v>143</v>
      </c>
      <c r="B2" s="470"/>
      <c r="C2" s="470"/>
      <c r="D2" s="470"/>
    </row>
    <row r="3" spans="1:4" x14ac:dyDescent="0.25">
      <c r="A3" s="471" t="s">
        <v>434</v>
      </c>
      <c r="B3" s="471"/>
      <c r="C3" s="471"/>
      <c r="D3" s="471"/>
    </row>
    <row r="5" spans="1:4" ht="24.95" customHeight="1" x14ac:dyDescent="0.25">
      <c r="A5" s="113" t="s">
        <v>1</v>
      </c>
      <c r="B5" s="113" t="s">
        <v>144</v>
      </c>
      <c r="C5" s="113" t="s">
        <v>145</v>
      </c>
      <c r="D5" s="113" t="s">
        <v>8</v>
      </c>
    </row>
    <row r="6" spans="1:4" ht="24.95" customHeight="1" x14ac:dyDescent="0.25">
      <c r="A6" s="114">
        <v>1</v>
      </c>
      <c r="B6" s="115" t="s">
        <v>73</v>
      </c>
      <c r="C6" s="116" t="s">
        <v>259</v>
      </c>
      <c r="D6" s="117"/>
    </row>
    <row r="7" spans="1:4" ht="24.95" customHeight="1" x14ac:dyDescent="0.25">
      <c r="A7" s="114">
        <v>2</v>
      </c>
      <c r="B7" s="114" t="s">
        <v>44</v>
      </c>
      <c r="C7" s="116" t="s">
        <v>413</v>
      </c>
      <c r="D7" s="117"/>
    </row>
    <row r="8" spans="1:4" ht="24.95" customHeight="1" x14ac:dyDescent="0.25">
      <c r="A8" s="114">
        <v>3</v>
      </c>
      <c r="B8" s="114" t="s">
        <v>74</v>
      </c>
      <c r="C8" s="116" t="s">
        <v>422</v>
      </c>
      <c r="D8" s="117"/>
    </row>
    <row r="9" spans="1:4" ht="24.95" customHeight="1" x14ac:dyDescent="0.25">
      <c r="A9" s="114">
        <v>4</v>
      </c>
      <c r="B9" s="114" t="s">
        <v>56</v>
      </c>
      <c r="C9" s="116" t="s">
        <v>323</v>
      </c>
      <c r="D9" s="117"/>
    </row>
    <row r="10" spans="1:4" ht="24.95" customHeight="1" x14ac:dyDescent="0.25">
      <c r="A10" s="114"/>
      <c r="B10" s="114"/>
      <c r="C10" s="116"/>
      <c r="D10" s="117"/>
    </row>
    <row r="11" spans="1:4" ht="24.95" customHeight="1" x14ac:dyDescent="0.25">
      <c r="A11" s="118"/>
      <c r="B11" s="118"/>
      <c r="C11" s="116"/>
      <c r="D11" s="117"/>
    </row>
    <row r="12" spans="1:4" ht="24.95" customHeight="1" x14ac:dyDescent="0.25">
      <c r="A12" s="114">
        <v>5</v>
      </c>
      <c r="B12" s="114" t="s">
        <v>50</v>
      </c>
      <c r="C12" s="116" t="s">
        <v>292</v>
      </c>
      <c r="D12" s="117"/>
    </row>
    <row r="13" spans="1:4" ht="24.95" customHeight="1" x14ac:dyDescent="0.25">
      <c r="A13" s="114">
        <v>6</v>
      </c>
      <c r="B13" s="114" t="s">
        <v>66</v>
      </c>
      <c r="C13" s="116" t="s">
        <v>233</v>
      </c>
      <c r="D13" s="117"/>
    </row>
    <row r="14" spans="1:4" ht="24.95" customHeight="1" x14ac:dyDescent="0.25">
      <c r="A14" s="114">
        <v>7</v>
      </c>
      <c r="B14" s="114" t="s">
        <v>30</v>
      </c>
      <c r="C14" s="116" t="s">
        <v>423</v>
      </c>
      <c r="D14" s="117"/>
    </row>
    <row r="15" spans="1:4" ht="24.95" customHeight="1" x14ac:dyDescent="0.25">
      <c r="A15" s="114">
        <v>8</v>
      </c>
      <c r="B15" s="114" t="s">
        <v>70</v>
      </c>
      <c r="C15" s="116" t="s">
        <v>424</v>
      </c>
      <c r="D15" s="117"/>
    </row>
    <row r="16" spans="1:4" ht="24.95" customHeight="1" x14ac:dyDescent="0.25">
      <c r="A16" s="114"/>
      <c r="B16" s="114"/>
      <c r="C16" s="116"/>
      <c r="D16" s="117"/>
    </row>
    <row r="17" spans="1:4" ht="24.95" customHeight="1" x14ac:dyDescent="0.25">
      <c r="A17" s="114"/>
      <c r="B17" s="114"/>
      <c r="C17" s="119"/>
      <c r="D17" s="117"/>
    </row>
    <row r="18" spans="1:4" ht="24.95" customHeight="1" x14ac:dyDescent="0.25">
      <c r="A18" s="114">
        <v>9</v>
      </c>
      <c r="B18" s="114" t="s">
        <v>28</v>
      </c>
      <c r="C18" s="372" t="s">
        <v>445</v>
      </c>
      <c r="D18" s="117"/>
    </row>
    <row r="19" spans="1:4" ht="24.95" customHeight="1" x14ac:dyDescent="0.25">
      <c r="A19" s="114">
        <v>10</v>
      </c>
      <c r="B19" s="114" t="s">
        <v>32</v>
      </c>
      <c r="C19" s="116" t="s">
        <v>62</v>
      </c>
      <c r="D19" s="117"/>
    </row>
    <row r="20" spans="1:4" ht="24.95" customHeight="1" x14ac:dyDescent="0.25">
      <c r="A20" s="114">
        <v>11</v>
      </c>
      <c r="B20" s="114" t="s">
        <v>52</v>
      </c>
      <c r="C20" s="116" t="s">
        <v>334</v>
      </c>
      <c r="D20" s="117"/>
    </row>
    <row r="21" spans="1:4" ht="24.95" customHeight="1" x14ac:dyDescent="0.25">
      <c r="A21" s="114">
        <v>12</v>
      </c>
      <c r="B21" s="114" t="s">
        <v>64</v>
      </c>
      <c r="C21" s="116" t="s">
        <v>207</v>
      </c>
      <c r="D21" s="117"/>
    </row>
    <row r="22" spans="1:4" ht="24.95" customHeight="1" x14ac:dyDescent="0.25">
      <c r="A22" s="114"/>
      <c r="B22" s="114"/>
      <c r="C22" s="116"/>
      <c r="D22" s="117"/>
    </row>
    <row r="23" spans="1:4" x14ac:dyDescent="0.25">
      <c r="C23" s="112" t="s">
        <v>174</v>
      </c>
    </row>
    <row r="24" spans="1:4" ht="15.75" x14ac:dyDescent="0.25">
      <c r="C24" s="120" t="s">
        <v>417</v>
      </c>
    </row>
    <row r="25" spans="1:4" ht="15.75" x14ac:dyDescent="0.25">
      <c r="C25" s="120" t="s">
        <v>82</v>
      </c>
    </row>
    <row r="26" spans="1:4" ht="15.75" x14ac:dyDescent="0.25">
      <c r="C26" s="120"/>
    </row>
    <row r="27" spans="1:4" ht="15.75" x14ac:dyDescent="0.25">
      <c r="C27" s="120"/>
    </row>
    <row r="28" spans="1:4" ht="15.75" x14ac:dyDescent="0.25">
      <c r="C28" s="22" t="s">
        <v>276</v>
      </c>
    </row>
    <row r="29" spans="1:4" ht="15.75" x14ac:dyDescent="0.25">
      <c r="C29" s="22" t="s">
        <v>277</v>
      </c>
    </row>
    <row r="30" spans="1:4" ht="15.75" x14ac:dyDescent="0.25">
      <c r="C30" s="120"/>
    </row>
  </sheetData>
  <mergeCells count="3">
    <mergeCell ref="A1:D1"/>
    <mergeCell ref="A2:D2"/>
    <mergeCell ref="A3:D3"/>
  </mergeCells>
  <pageMargins left="1.95" right="0.7" top="0.92" bottom="0.75" header="0.3" footer="0.3"/>
  <pageSetup paperSize="5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view="pageBreakPreview" topLeftCell="A58" zoomScale="90" zoomScaleNormal="120" zoomScaleSheetLayoutView="90" workbookViewId="0">
      <selection activeCell="C76" sqref="C76:C77"/>
    </sheetView>
  </sheetViews>
  <sheetFormatPr defaultRowHeight="15" x14ac:dyDescent="0.25"/>
  <cols>
    <col min="1" max="1" width="4" style="6" customWidth="1"/>
    <col min="2" max="2" width="31" customWidth="1"/>
    <col min="3" max="3" width="19.85546875" customWidth="1"/>
    <col min="4" max="4" width="21" customWidth="1"/>
    <col min="5" max="5" width="8.28515625" customWidth="1"/>
    <col min="7" max="7" width="30.42578125" customWidth="1"/>
  </cols>
  <sheetData>
    <row r="1" spans="1:5" ht="12" customHeight="1" x14ac:dyDescent="0.25">
      <c r="B1" s="13" t="s">
        <v>146</v>
      </c>
      <c r="C1" s="14" t="s">
        <v>83</v>
      </c>
      <c r="D1" s="15"/>
    </row>
    <row r="2" spans="1:5" ht="12" customHeight="1" x14ac:dyDescent="0.25">
      <c r="B2" s="16"/>
      <c r="C2" s="17" t="s">
        <v>84</v>
      </c>
      <c r="D2" s="17" t="s">
        <v>437</v>
      </c>
    </row>
    <row r="3" spans="1:5" ht="12" customHeight="1" x14ac:dyDescent="0.25">
      <c r="B3" s="16"/>
      <c r="C3" s="17" t="s">
        <v>85</v>
      </c>
      <c r="D3" s="17" t="s">
        <v>86</v>
      </c>
    </row>
    <row r="4" spans="1:5" ht="12" customHeight="1" x14ac:dyDescent="0.25">
      <c r="B4" s="16"/>
      <c r="C4" s="17" t="s">
        <v>87</v>
      </c>
      <c r="D4" s="17" t="s">
        <v>425</v>
      </c>
    </row>
    <row r="5" spans="1:5" ht="9" customHeight="1" x14ac:dyDescent="0.25">
      <c r="A5" s="34"/>
    </row>
    <row r="6" spans="1:5" ht="15.75" x14ac:dyDescent="0.25">
      <c r="A6" s="485" t="s">
        <v>147</v>
      </c>
      <c r="B6" s="485"/>
      <c r="C6" s="485"/>
      <c r="D6" s="485"/>
      <c r="E6" s="485"/>
    </row>
    <row r="7" spans="1:5" ht="15.75" x14ac:dyDescent="0.25">
      <c r="A7" s="485" t="s">
        <v>426</v>
      </c>
      <c r="B7" s="485"/>
      <c r="C7" s="485"/>
      <c r="D7" s="485"/>
      <c r="E7" s="485"/>
    </row>
    <row r="8" spans="1:5" ht="7.5" customHeight="1" x14ac:dyDescent="0.25">
      <c r="A8" s="122"/>
    </row>
    <row r="9" spans="1:5" ht="15.75" x14ac:dyDescent="0.25">
      <c r="A9" s="270" t="s">
        <v>1</v>
      </c>
      <c r="B9" s="270" t="s">
        <v>88</v>
      </c>
      <c r="C9" s="270" t="s">
        <v>148</v>
      </c>
      <c r="D9" s="270" t="s">
        <v>202</v>
      </c>
      <c r="E9" s="283" t="s">
        <v>8</v>
      </c>
    </row>
    <row r="10" spans="1:5" ht="31.5" x14ac:dyDescent="0.25">
      <c r="A10" s="270">
        <v>1</v>
      </c>
      <c r="B10" s="132" t="s">
        <v>360</v>
      </c>
      <c r="C10" s="273" t="s">
        <v>252</v>
      </c>
      <c r="D10" s="157" t="s">
        <v>296</v>
      </c>
      <c r="E10" s="49"/>
    </row>
    <row r="11" spans="1:5" ht="34.5" customHeight="1" x14ac:dyDescent="0.25">
      <c r="A11" s="270">
        <v>2</v>
      </c>
      <c r="B11" s="165" t="s">
        <v>343</v>
      </c>
      <c r="C11" s="243" t="s">
        <v>427</v>
      </c>
      <c r="D11" s="157" t="s">
        <v>299</v>
      </c>
      <c r="E11" s="49"/>
    </row>
    <row r="12" spans="1:5" ht="31.5" x14ac:dyDescent="0.25">
      <c r="A12" s="270">
        <v>3</v>
      </c>
      <c r="B12" s="132" t="s">
        <v>384</v>
      </c>
      <c r="C12" s="243" t="s">
        <v>427</v>
      </c>
      <c r="D12" s="244" t="s">
        <v>297</v>
      </c>
      <c r="E12" s="49"/>
    </row>
    <row r="13" spans="1:5" ht="31.5" x14ac:dyDescent="0.25">
      <c r="A13" s="270">
        <v>4</v>
      </c>
      <c r="B13" s="132" t="s">
        <v>358</v>
      </c>
      <c r="C13" s="363" t="s">
        <v>252</v>
      </c>
      <c r="D13" s="124" t="s">
        <v>479</v>
      </c>
      <c r="E13" s="49"/>
    </row>
    <row r="14" spans="1:5" ht="31.5" x14ac:dyDescent="0.25">
      <c r="A14" s="270">
        <v>5</v>
      </c>
      <c r="B14" s="165" t="s">
        <v>438</v>
      </c>
      <c r="C14" s="170" t="s">
        <v>428</v>
      </c>
      <c r="D14" s="124" t="s">
        <v>300</v>
      </c>
      <c r="E14" s="12"/>
    </row>
    <row r="15" spans="1:5" ht="31.5" x14ac:dyDescent="0.25">
      <c r="A15" s="270">
        <v>6</v>
      </c>
      <c r="B15" s="132" t="s">
        <v>359</v>
      </c>
      <c r="C15" s="363" t="s">
        <v>252</v>
      </c>
      <c r="D15" s="157" t="s">
        <v>462</v>
      </c>
      <c r="E15" s="12"/>
    </row>
    <row r="16" spans="1:5" ht="31.5" x14ac:dyDescent="0.25">
      <c r="A16" s="270">
        <v>7</v>
      </c>
      <c r="B16" s="165" t="s">
        <v>393</v>
      </c>
      <c r="C16" s="243" t="s">
        <v>149</v>
      </c>
      <c r="D16" s="157" t="s">
        <v>301</v>
      </c>
      <c r="E16" s="12"/>
    </row>
    <row r="17" spans="1:5" ht="31.5" x14ac:dyDescent="0.25">
      <c r="A17" s="270">
        <v>8</v>
      </c>
      <c r="B17" s="165" t="s">
        <v>398</v>
      </c>
      <c r="C17" s="363" t="s">
        <v>252</v>
      </c>
      <c r="D17" s="157" t="s">
        <v>302</v>
      </c>
      <c r="E17" s="12"/>
    </row>
    <row r="18" spans="1:5" ht="31.5" x14ac:dyDescent="0.25">
      <c r="A18" s="270">
        <v>9</v>
      </c>
      <c r="B18" s="165" t="s">
        <v>361</v>
      </c>
      <c r="C18" s="170" t="s">
        <v>220</v>
      </c>
      <c r="D18" s="157" t="s">
        <v>150</v>
      </c>
      <c r="E18" s="12"/>
    </row>
    <row r="19" spans="1:5" ht="31.5" x14ac:dyDescent="0.25">
      <c r="A19" s="270">
        <v>10</v>
      </c>
      <c r="B19" s="165" t="s">
        <v>439</v>
      </c>
      <c r="C19" s="170" t="s">
        <v>421</v>
      </c>
      <c r="D19" s="157" t="s">
        <v>151</v>
      </c>
      <c r="E19" s="12"/>
    </row>
    <row r="20" spans="1:5" ht="31.5" x14ac:dyDescent="0.25">
      <c r="A20" s="270">
        <v>11</v>
      </c>
      <c r="B20" s="165" t="s">
        <v>440</v>
      </c>
      <c r="C20" s="170" t="s">
        <v>421</v>
      </c>
      <c r="D20" s="157" t="s">
        <v>152</v>
      </c>
      <c r="E20" s="12"/>
    </row>
    <row r="21" spans="1:5" ht="31.5" x14ac:dyDescent="0.25">
      <c r="A21" s="270">
        <v>12</v>
      </c>
      <c r="B21" s="165" t="s">
        <v>342</v>
      </c>
      <c r="C21" s="170" t="s">
        <v>220</v>
      </c>
      <c r="D21" s="157" t="s">
        <v>153</v>
      </c>
      <c r="E21" s="12"/>
    </row>
    <row r="22" spans="1:5" ht="31.5" x14ac:dyDescent="0.25">
      <c r="A22" s="270">
        <v>13</v>
      </c>
      <c r="B22" s="187" t="s">
        <v>385</v>
      </c>
      <c r="C22" s="373" t="s">
        <v>252</v>
      </c>
      <c r="D22" s="157" t="s">
        <v>243</v>
      </c>
      <c r="E22" s="12"/>
    </row>
    <row r="23" spans="1:5" ht="31.5" x14ac:dyDescent="0.25">
      <c r="A23" s="270">
        <v>14</v>
      </c>
      <c r="B23" s="165" t="s">
        <v>397</v>
      </c>
      <c r="C23" s="170" t="s">
        <v>220</v>
      </c>
      <c r="D23" s="157" t="s">
        <v>201</v>
      </c>
      <c r="E23" s="12"/>
    </row>
    <row r="24" spans="1:5" ht="34.5" customHeight="1" x14ac:dyDescent="0.25">
      <c r="A24" s="270">
        <v>15</v>
      </c>
      <c r="B24" s="165" t="s">
        <v>441</v>
      </c>
      <c r="C24" s="170" t="s">
        <v>421</v>
      </c>
      <c r="D24" s="157" t="s">
        <v>155</v>
      </c>
      <c r="E24" s="12"/>
    </row>
    <row r="25" spans="1:5" ht="31.5" x14ac:dyDescent="0.25">
      <c r="A25" s="270">
        <v>16</v>
      </c>
      <c r="B25" s="165" t="s">
        <v>429</v>
      </c>
      <c r="C25" s="170" t="s">
        <v>421</v>
      </c>
      <c r="D25" s="157" t="s">
        <v>156</v>
      </c>
      <c r="E25" s="12"/>
    </row>
    <row r="26" spans="1:5" ht="35.25" customHeight="1" x14ac:dyDescent="0.25">
      <c r="A26" s="375">
        <v>17</v>
      </c>
      <c r="B26" s="165" t="s">
        <v>320</v>
      </c>
      <c r="C26" s="373" t="s">
        <v>252</v>
      </c>
      <c r="D26" s="157" t="s">
        <v>157</v>
      </c>
      <c r="E26" s="12"/>
    </row>
    <row r="27" spans="1:5" ht="31.5" x14ac:dyDescent="0.25">
      <c r="A27" s="375">
        <v>18</v>
      </c>
      <c r="B27" s="165" t="s">
        <v>386</v>
      </c>
      <c r="C27" s="373" t="s">
        <v>428</v>
      </c>
      <c r="D27" s="157" t="s">
        <v>158</v>
      </c>
      <c r="E27" s="12"/>
    </row>
    <row r="28" spans="1:5" ht="15.75" x14ac:dyDescent="0.25">
      <c r="A28" s="35"/>
      <c r="B28" s="158"/>
      <c r="C28" s="159"/>
      <c r="D28" s="160"/>
      <c r="E28" s="8"/>
    </row>
    <row r="29" spans="1:5" ht="15.75" x14ac:dyDescent="0.25">
      <c r="B29" s="20"/>
      <c r="C29" s="153"/>
      <c r="D29" s="154" t="s">
        <v>97</v>
      </c>
    </row>
    <row r="30" spans="1:5" ht="15.75" x14ac:dyDescent="0.25">
      <c r="B30" s="9"/>
      <c r="D30" s="10"/>
    </row>
    <row r="31" spans="1:5" ht="15.75" x14ac:dyDescent="0.25">
      <c r="B31" s="9"/>
      <c r="D31" s="10"/>
    </row>
    <row r="32" spans="1:5" x14ac:dyDescent="0.25">
      <c r="B32" s="9"/>
      <c r="D32" s="106" t="s">
        <v>285</v>
      </c>
    </row>
    <row r="33" spans="2:4" x14ac:dyDescent="0.25">
      <c r="B33" s="9"/>
      <c r="D33" s="106" t="s">
        <v>277</v>
      </c>
    </row>
    <row r="34" spans="2:4" x14ac:dyDescent="0.25">
      <c r="B34" s="9"/>
      <c r="D34" s="106"/>
    </row>
    <row r="35" spans="2:4" x14ac:dyDescent="0.25">
      <c r="B35" s="9"/>
      <c r="D35" s="106"/>
    </row>
    <row r="36" spans="2:4" x14ac:dyDescent="0.25">
      <c r="B36" s="9"/>
      <c r="D36" s="106"/>
    </row>
    <row r="37" spans="2:4" ht="6.75" customHeight="1" x14ac:dyDescent="0.25">
      <c r="B37" s="9"/>
      <c r="D37" s="1"/>
    </row>
    <row r="38" spans="2:4" ht="6.75" customHeight="1" x14ac:dyDescent="0.25">
      <c r="B38" s="9"/>
      <c r="D38" s="1"/>
    </row>
    <row r="39" spans="2:4" ht="6.75" customHeight="1" x14ac:dyDescent="0.25">
      <c r="B39" s="9"/>
      <c r="D39" s="1"/>
    </row>
    <row r="40" spans="2:4" ht="6.75" customHeight="1" x14ac:dyDescent="0.25">
      <c r="B40" s="9"/>
      <c r="D40" s="1"/>
    </row>
    <row r="41" spans="2:4" ht="6.75" customHeight="1" x14ac:dyDescent="0.25">
      <c r="B41" s="9"/>
      <c r="D41" s="1"/>
    </row>
    <row r="42" spans="2:4" ht="6.75" customHeight="1" x14ac:dyDescent="0.25">
      <c r="B42" s="9"/>
      <c r="D42" s="1"/>
    </row>
    <row r="43" spans="2:4" ht="6.75" customHeight="1" x14ac:dyDescent="0.25">
      <c r="B43" s="9"/>
      <c r="D43" s="1"/>
    </row>
    <row r="44" spans="2:4" ht="6.75" customHeight="1" x14ac:dyDescent="0.25">
      <c r="B44" s="9"/>
      <c r="D44" s="1"/>
    </row>
    <row r="45" spans="2:4" ht="6.75" customHeight="1" x14ac:dyDescent="0.25">
      <c r="B45" s="9"/>
      <c r="D45" s="1"/>
    </row>
    <row r="46" spans="2:4" ht="6.75" customHeight="1" x14ac:dyDescent="0.25">
      <c r="B46" s="9"/>
      <c r="D46" s="1"/>
    </row>
    <row r="47" spans="2:4" ht="6.75" customHeight="1" x14ac:dyDescent="0.25">
      <c r="B47" s="9"/>
      <c r="D47" s="1"/>
    </row>
    <row r="48" spans="2:4" ht="6.75" customHeight="1" x14ac:dyDescent="0.25">
      <c r="B48" s="9"/>
      <c r="D48" s="1"/>
    </row>
    <row r="49" spans="1:5" ht="6.75" customHeight="1" x14ac:dyDescent="0.25">
      <c r="B49" s="9"/>
      <c r="D49" s="1"/>
    </row>
    <row r="50" spans="1:5" ht="6.75" customHeight="1" x14ac:dyDescent="0.25">
      <c r="B50" s="9"/>
      <c r="D50" s="1"/>
    </row>
    <row r="51" spans="1:5" ht="12" customHeight="1" x14ac:dyDescent="0.25">
      <c r="B51" s="13" t="s">
        <v>383</v>
      </c>
      <c r="C51" s="15" t="s">
        <v>83</v>
      </c>
      <c r="D51" s="16"/>
    </row>
    <row r="52" spans="1:5" ht="12" customHeight="1" x14ac:dyDescent="0.25">
      <c r="B52" s="16"/>
      <c r="C52" s="17" t="s">
        <v>84</v>
      </c>
      <c r="D52" s="17" t="s">
        <v>437</v>
      </c>
    </row>
    <row r="53" spans="1:5" ht="12" customHeight="1" x14ac:dyDescent="0.25">
      <c r="B53" s="16"/>
      <c r="C53" s="17" t="s">
        <v>85</v>
      </c>
      <c r="D53" s="17" t="s">
        <v>86</v>
      </c>
    </row>
    <row r="54" spans="1:5" ht="12" customHeight="1" x14ac:dyDescent="0.25">
      <c r="B54" s="16"/>
      <c r="C54" s="17" t="s">
        <v>87</v>
      </c>
      <c r="D54" s="17" t="s">
        <v>425</v>
      </c>
    </row>
    <row r="55" spans="1:5" ht="5.25" customHeight="1" x14ac:dyDescent="0.25">
      <c r="B55" s="16"/>
      <c r="C55" s="17"/>
      <c r="D55" s="17"/>
    </row>
    <row r="56" spans="1:5" ht="15.75" x14ac:dyDescent="0.25">
      <c r="A56" s="486" t="s">
        <v>357</v>
      </c>
      <c r="B56" s="486"/>
      <c r="C56" s="486"/>
      <c r="D56" s="486"/>
      <c r="E56" s="486"/>
    </row>
    <row r="57" spans="1:5" ht="15.75" x14ac:dyDescent="0.25">
      <c r="A57" s="486" t="s">
        <v>430</v>
      </c>
      <c r="B57" s="486"/>
      <c r="C57" s="486"/>
      <c r="D57" s="486"/>
      <c r="E57" s="486"/>
    </row>
    <row r="58" spans="1:5" ht="6.75" customHeight="1" x14ac:dyDescent="0.25">
      <c r="A58" s="122"/>
    </row>
    <row r="59" spans="1:5" ht="15.75" x14ac:dyDescent="0.25">
      <c r="A59" s="123" t="s">
        <v>1</v>
      </c>
      <c r="B59" s="31" t="s">
        <v>88</v>
      </c>
      <c r="C59" s="31" t="s">
        <v>160</v>
      </c>
      <c r="D59" s="31" t="s">
        <v>245</v>
      </c>
      <c r="E59" s="31" t="s">
        <v>8</v>
      </c>
    </row>
    <row r="60" spans="1:5" ht="15.75" x14ac:dyDescent="0.25">
      <c r="A60" s="451">
        <v>1</v>
      </c>
      <c r="B60" s="271" t="s">
        <v>319</v>
      </c>
      <c r="C60" s="453" t="s">
        <v>252</v>
      </c>
      <c r="D60" s="453" t="s">
        <v>337</v>
      </c>
      <c r="E60" s="279"/>
    </row>
    <row r="61" spans="1:5" ht="15.75" x14ac:dyDescent="0.25">
      <c r="A61" s="452"/>
      <c r="B61" s="272" t="s">
        <v>227</v>
      </c>
      <c r="C61" s="454"/>
      <c r="D61" s="454"/>
      <c r="E61" s="280"/>
    </row>
    <row r="62" spans="1:5" ht="16.899999999999999" customHeight="1" x14ac:dyDescent="0.25">
      <c r="A62" s="451">
        <v>2</v>
      </c>
      <c r="B62" s="382" t="s">
        <v>460</v>
      </c>
      <c r="C62" s="453" t="s">
        <v>252</v>
      </c>
      <c r="D62" s="453" t="s">
        <v>452</v>
      </c>
      <c r="E62" s="384"/>
    </row>
    <row r="63" spans="1:5" ht="15.75" x14ac:dyDescent="0.25">
      <c r="A63" s="452"/>
      <c r="B63" s="383" t="s">
        <v>461</v>
      </c>
      <c r="C63" s="454"/>
      <c r="D63" s="454"/>
      <c r="E63" s="385"/>
    </row>
    <row r="64" spans="1:5" ht="15.75" x14ac:dyDescent="0.25">
      <c r="A64" s="459">
        <v>3</v>
      </c>
      <c r="B64" s="340" t="s">
        <v>394</v>
      </c>
      <c r="C64" s="465" t="s">
        <v>154</v>
      </c>
      <c r="D64" s="465" t="s">
        <v>395</v>
      </c>
      <c r="E64" s="156"/>
    </row>
    <row r="65" spans="1:5" ht="15.75" x14ac:dyDescent="0.25">
      <c r="A65" s="452"/>
      <c r="B65" s="340" t="s">
        <v>103</v>
      </c>
      <c r="C65" s="454"/>
      <c r="D65" s="454"/>
      <c r="E65" s="156"/>
    </row>
    <row r="66" spans="1:5" ht="15.75" x14ac:dyDescent="0.25">
      <c r="A66" s="451">
        <v>4</v>
      </c>
      <c r="B66" s="389" t="s">
        <v>473</v>
      </c>
      <c r="C66" s="472" t="s">
        <v>220</v>
      </c>
      <c r="D66" s="453" t="s">
        <v>475</v>
      </c>
      <c r="E66" s="156"/>
    </row>
    <row r="67" spans="1:5" ht="15.75" x14ac:dyDescent="0.25">
      <c r="A67" s="452"/>
      <c r="B67" s="388" t="s">
        <v>264</v>
      </c>
      <c r="C67" s="473"/>
      <c r="D67" s="454"/>
      <c r="E67" s="156"/>
    </row>
    <row r="68" spans="1:5" ht="15.75" x14ac:dyDescent="0.25">
      <c r="A68" s="451">
        <v>5</v>
      </c>
      <c r="B68" s="23" t="s">
        <v>362</v>
      </c>
      <c r="C68" s="453" t="s">
        <v>344</v>
      </c>
      <c r="D68" s="453" t="s">
        <v>381</v>
      </c>
      <c r="E68" s="279"/>
    </row>
    <row r="69" spans="1:5" ht="15.75" x14ac:dyDescent="0.25">
      <c r="A69" s="452"/>
      <c r="B69" s="70" t="s">
        <v>104</v>
      </c>
      <c r="C69" s="454"/>
      <c r="D69" s="454"/>
      <c r="E69" s="280"/>
    </row>
    <row r="70" spans="1:5" ht="15.75" x14ac:dyDescent="0.25">
      <c r="A70" s="451">
        <v>6</v>
      </c>
      <c r="B70" s="129" t="s">
        <v>256</v>
      </c>
      <c r="C70" s="453" t="s">
        <v>431</v>
      </c>
      <c r="D70" s="474" t="s">
        <v>294</v>
      </c>
      <c r="E70" s="279"/>
    </row>
    <row r="71" spans="1:5" ht="15.75" x14ac:dyDescent="0.25">
      <c r="A71" s="452"/>
      <c r="B71" s="134" t="s">
        <v>121</v>
      </c>
      <c r="C71" s="454"/>
      <c r="D71" s="475"/>
      <c r="E71" s="280"/>
    </row>
    <row r="72" spans="1:5" ht="15.75" x14ac:dyDescent="0.25">
      <c r="A72" s="451">
        <v>7</v>
      </c>
      <c r="B72" s="129" t="s">
        <v>266</v>
      </c>
      <c r="C72" s="453" t="s">
        <v>345</v>
      </c>
      <c r="D72" s="474" t="s">
        <v>241</v>
      </c>
      <c r="E72" s="156"/>
    </row>
    <row r="73" spans="1:5" ht="15.75" x14ac:dyDescent="0.25">
      <c r="A73" s="452"/>
      <c r="B73" s="134" t="s">
        <v>265</v>
      </c>
      <c r="C73" s="454"/>
      <c r="D73" s="475"/>
      <c r="E73" s="156"/>
    </row>
    <row r="74" spans="1:5" ht="15.75" x14ac:dyDescent="0.25">
      <c r="A74" s="451">
        <v>8</v>
      </c>
      <c r="B74" s="23" t="s">
        <v>255</v>
      </c>
      <c r="C74" s="453" t="s">
        <v>382</v>
      </c>
      <c r="D74" s="453" t="s">
        <v>463</v>
      </c>
      <c r="E74" s="481"/>
    </row>
    <row r="75" spans="1:5" ht="15.75" x14ac:dyDescent="0.25">
      <c r="A75" s="452"/>
      <c r="B75" s="121" t="s">
        <v>192</v>
      </c>
      <c r="C75" s="454"/>
      <c r="D75" s="454"/>
      <c r="E75" s="482"/>
    </row>
    <row r="76" spans="1:5" ht="15.75" x14ac:dyDescent="0.25">
      <c r="A76" s="451">
        <v>9</v>
      </c>
      <c r="B76" s="334" t="s">
        <v>130</v>
      </c>
      <c r="C76" s="453" t="s">
        <v>379</v>
      </c>
      <c r="D76" s="453" t="s">
        <v>380</v>
      </c>
      <c r="E76" s="156"/>
    </row>
    <row r="77" spans="1:5" ht="15.75" x14ac:dyDescent="0.25">
      <c r="A77" s="452"/>
      <c r="B77" s="121" t="s">
        <v>378</v>
      </c>
      <c r="C77" s="454"/>
      <c r="D77" s="454"/>
      <c r="E77" s="156"/>
    </row>
    <row r="78" spans="1:5" ht="15.75" x14ac:dyDescent="0.25">
      <c r="A78" s="451">
        <v>10</v>
      </c>
      <c r="B78" s="334" t="s">
        <v>470</v>
      </c>
      <c r="C78" s="453" t="s">
        <v>421</v>
      </c>
      <c r="D78" s="453" t="s">
        <v>471</v>
      </c>
      <c r="E78" s="390"/>
    </row>
    <row r="79" spans="1:5" ht="15.75" x14ac:dyDescent="0.25">
      <c r="A79" s="452"/>
      <c r="B79" s="121" t="s">
        <v>405</v>
      </c>
      <c r="C79" s="454"/>
      <c r="D79" s="454"/>
      <c r="E79" s="391"/>
    </row>
    <row r="80" spans="1:5" ht="15.75" x14ac:dyDescent="0.25">
      <c r="A80" s="451">
        <v>11</v>
      </c>
      <c r="B80" s="276" t="s">
        <v>105</v>
      </c>
      <c r="C80" s="453" t="s">
        <v>345</v>
      </c>
      <c r="D80" s="483" t="s">
        <v>246</v>
      </c>
      <c r="E80" s="156"/>
    </row>
    <row r="81" spans="1:5" ht="15.75" x14ac:dyDescent="0.25">
      <c r="A81" s="452"/>
      <c r="B81" s="277" t="s">
        <v>107</v>
      </c>
      <c r="C81" s="454"/>
      <c r="D81" s="484"/>
      <c r="E81" s="156"/>
    </row>
    <row r="82" spans="1:5" ht="15.75" x14ac:dyDescent="0.25">
      <c r="A82" s="451">
        <v>12</v>
      </c>
      <c r="B82" s="276" t="s">
        <v>161</v>
      </c>
      <c r="C82" s="453" t="s">
        <v>125</v>
      </c>
      <c r="D82" s="281" t="s">
        <v>307</v>
      </c>
      <c r="E82" s="476"/>
    </row>
    <row r="83" spans="1:5" ht="15.75" x14ac:dyDescent="0.25">
      <c r="A83" s="459"/>
      <c r="B83" s="278"/>
      <c r="C83" s="465"/>
      <c r="D83" s="192" t="s">
        <v>268</v>
      </c>
      <c r="E83" s="477"/>
    </row>
    <row r="84" spans="1:5" ht="15.75" x14ac:dyDescent="0.25">
      <c r="A84" s="452"/>
      <c r="B84" s="277"/>
      <c r="C84" s="454"/>
      <c r="D84" s="282" t="s">
        <v>474</v>
      </c>
      <c r="E84" s="478"/>
    </row>
    <row r="85" spans="1:5" ht="15.75" x14ac:dyDescent="0.25">
      <c r="A85" s="451">
        <v>13</v>
      </c>
      <c r="B85" s="276" t="s">
        <v>162</v>
      </c>
      <c r="C85" s="476" t="s">
        <v>164</v>
      </c>
      <c r="D85" s="479" t="s">
        <v>308</v>
      </c>
      <c r="E85" s="476"/>
    </row>
    <row r="86" spans="1:5" ht="15.75" x14ac:dyDescent="0.25">
      <c r="A86" s="452"/>
      <c r="B86" s="277" t="s">
        <v>163</v>
      </c>
      <c r="C86" s="478"/>
      <c r="D86" s="480"/>
      <c r="E86" s="478"/>
    </row>
    <row r="87" spans="1:5" ht="15.75" x14ac:dyDescent="0.25">
      <c r="A87" s="270">
        <v>14</v>
      </c>
      <c r="B87" s="273" t="s">
        <v>165</v>
      </c>
      <c r="C87" s="273" t="s">
        <v>125</v>
      </c>
      <c r="D87" s="132" t="s">
        <v>472</v>
      </c>
      <c r="E87" s="270" t="s">
        <v>166</v>
      </c>
    </row>
    <row r="88" spans="1:5" ht="30" x14ac:dyDescent="0.25">
      <c r="A88" s="268">
        <v>15</v>
      </c>
      <c r="B88" s="269" t="s">
        <v>167</v>
      </c>
      <c r="C88" s="271" t="s">
        <v>125</v>
      </c>
      <c r="D88" s="450" t="s">
        <v>494</v>
      </c>
      <c r="E88" s="449" t="s">
        <v>166</v>
      </c>
    </row>
    <row r="89" spans="1:5" ht="25.5" customHeight="1" x14ac:dyDescent="0.25">
      <c r="A89" s="270">
        <v>16</v>
      </c>
      <c r="B89" s="124" t="s">
        <v>168</v>
      </c>
      <c r="C89" s="273" t="s">
        <v>125</v>
      </c>
      <c r="D89" s="183" t="s">
        <v>495</v>
      </c>
      <c r="E89" s="449" t="s">
        <v>166</v>
      </c>
    </row>
    <row r="90" spans="1:5" ht="33.75" customHeight="1" x14ac:dyDescent="0.25">
      <c r="A90" s="275">
        <v>17</v>
      </c>
      <c r="B90" s="274" t="s">
        <v>228</v>
      </c>
      <c r="C90" s="448" t="s">
        <v>125</v>
      </c>
      <c r="D90" s="572" t="s">
        <v>496</v>
      </c>
      <c r="E90" s="449" t="s">
        <v>166</v>
      </c>
    </row>
    <row r="91" spans="1:5" ht="15.75" x14ac:dyDescent="0.25">
      <c r="A91" s="451">
        <v>18</v>
      </c>
      <c r="B91" s="453" t="s">
        <v>169</v>
      </c>
      <c r="C91" s="276" t="s">
        <v>125</v>
      </c>
      <c r="D91" s="276" t="s">
        <v>269</v>
      </c>
      <c r="E91" s="193" t="s">
        <v>166</v>
      </c>
    </row>
    <row r="92" spans="1:5" ht="15.75" x14ac:dyDescent="0.25">
      <c r="A92" s="452"/>
      <c r="B92" s="454"/>
      <c r="C92" s="277"/>
      <c r="D92" s="277" t="s">
        <v>363</v>
      </c>
      <c r="E92" s="194"/>
    </row>
    <row r="93" spans="1:5" ht="21.75" customHeight="1" x14ac:dyDescent="0.25">
      <c r="A93" s="270">
        <v>19</v>
      </c>
      <c r="B93" s="242" t="s">
        <v>179</v>
      </c>
      <c r="C93" s="32" t="s">
        <v>125</v>
      </c>
      <c r="D93" s="277" t="s">
        <v>315</v>
      </c>
      <c r="E93" s="7" t="s">
        <v>166</v>
      </c>
    </row>
    <row r="94" spans="1:5" ht="15.75" x14ac:dyDescent="0.25">
      <c r="A94" s="451">
        <v>20</v>
      </c>
      <c r="B94" s="453" t="s">
        <v>270</v>
      </c>
      <c r="C94" s="276" t="s">
        <v>125</v>
      </c>
      <c r="D94" s="276" t="s">
        <v>272</v>
      </c>
      <c r="E94" s="193" t="s">
        <v>166</v>
      </c>
    </row>
    <row r="95" spans="1:5" ht="15.75" x14ac:dyDescent="0.25">
      <c r="A95" s="452"/>
      <c r="B95" s="454"/>
      <c r="C95" s="277"/>
      <c r="D95" s="277" t="s">
        <v>364</v>
      </c>
      <c r="E95" s="194"/>
    </row>
    <row r="96" spans="1:5" ht="15.75" x14ac:dyDescent="0.25">
      <c r="A96" s="451">
        <v>21</v>
      </c>
      <c r="B96" s="453" t="s">
        <v>271</v>
      </c>
      <c r="C96" s="276" t="s">
        <v>125</v>
      </c>
      <c r="D96" s="276" t="s">
        <v>272</v>
      </c>
      <c r="E96" s="193" t="s">
        <v>166</v>
      </c>
    </row>
    <row r="97" spans="1:5" ht="15.75" x14ac:dyDescent="0.25">
      <c r="A97" s="452"/>
      <c r="B97" s="454"/>
      <c r="C97" s="277"/>
      <c r="D97" s="277" t="s">
        <v>364</v>
      </c>
      <c r="E97" s="194"/>
    </row>
    <row r="98" spans="1:5" ht="31.5" x14ac:dyDescent="0.25">
      <c r="A98" s="332">
        <v>22</v>
      </c>
      <c r="B98" s="124" t="s">
        <v>365</v>
      </c>
      <c r="C98" s="132" t="s">
        <v>125</v>
      </c>
      <c r="D98" s="132" t="s">
        <v>366</v>
      </c>
      <c r="E98" s="7"/>
    </row>
    <row r="99" spans="1:5" ht="15.75" x14ac:dyDescent="0.25">
      <c r="D99" s="11" t="s">
        <v>97</v>
      </c>
    </row>
    <row r="100" spans="1:5" ht="15.75" x14ac:dyDescent="0.25">
      <c r="D100" s="11"/>
    </row>
    <row r="101" spans="1:5" ht="15.75" x14ac:dyDescent="0.25">
      <c r="A101" s="34"/>
    </row>
    <row r="102" spans="1:5" x14ac:dyDescent="0.25">
      <c r="D102" s="106" t="s">
        <v>285</v>
      </c>
    </row>
    <row r="103" spans="1:5" x14ac:dyDescent="0.25">
      <c r="D103" s="106" t="s">
        <v>277</v>
      </c>
    </row>
  </sheetData>
  <mergeCells count="51">
    <mergeCell ref="C62:C63"/>
    <mergeCell ref="D62:D63"/>
    <mergeCell ref="A62:A63"/>
    <mergeCell ref="A6:E6"/>
    <mergeCell ref="A7:E7"/>
    <mergeCell ref="A56:E56"/>
    <mergeCell ref="A57:E57"/>
    <mergeCell ref="A60:A61"/>
    <mergeCell ref="C60:C61"/>
    <mergeCell ref="D60:D61"/>
    <mergeCell ref="A74:A75"/>
    <mergeCell ref="C74:C75"/>
    <mergeCell ref="D74:D75"/>
    <mergeCell ref="A64:A65"/>
    <mergeCell ref="C64:C65"/>
    <mergeCell ref="D64:D65"/>
    <mergeCell ref="A96:A97"/>
    <mergeCell ref="B96:B97"/>
    <mergeCell ref="A68:A69"/>
    <mergeCell ref="A72:A73"/>
    <mergeCell ref="E82:E84"/>
    <mergeCell ref="A85:A86"/>
    <mergeCell ref="C85:C86"/>
    <mergeCell ref="D85:D86"/>
    <mergeCell ref="E85:E86"/>
    <mergeCell ref="A82:A84"/>
    <mergeCell ref="C82:C84"/>
    <mergeCell ref="E74:E75"/>
    <mergeCell ref="A80:A81"/>
    <mergeCell ref="C80:C81"/>
    <mergeCell ref="D80:D81"/>
    <mergeCell ref="A76:A77"/>
    <mergeCell ref="A94:A95"/>
    <mergeCell ref="B94:B95"/>
    <mergeCell ref="A78:A79"/>
    <mergeCell ref="D78:D79"/>
    <mergeCell ref="C78:C79"/>
    <mergeCell ref="A91:A92"/>
    <mergeCell ref="B91:B92"/>
    <mergeCell ref="A66:A67"/>
    <mergeCell ref="C72:C73"/>
    <mergeCell ref="D72:D73"/>
    <mergeCell ref="C68:C69"/>
    <mergeCell ref="D68:D69"/>
    <mergeCell ref="A70:A71"/>
    <mergeCell ref="C70:C71"/>
    <mergeCell ref="D70:D71"/>
    <mergeCell ref="D66:D67"/>
    <mergeCell ref="C66:C67"/>
    <mergeCell ref="C76:C77"/>
    <mergeCell ref="D76:D77"/>
  </mergeCells>
  <pageMargins left="0.98" right="0.70866141732283505" top="0.63" bottom="0.98" header="0.31496062992126" footer="0.31496062992126"/>
  <pageSetup paperSize="5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view="pageBreakPreview" zoomScale="106" zoomScaleNormal="110" zoomScaleSheetLayoutView="106" workbookViewId="0">
      <selection activeCell="G37" sqref="G37"/>
    </sheetView>
  </sheetViews>
  <sheetFormatPr defaultColWidth="9.140625" defaultRowHeight="15" x14ac:dyDescent="0.25"/>
  <cols>
    <col min="1" max="1" width="4.42578125" style="112" customWidth="1"/>
    <col min="2" max="2" width="26.7109375" style="112" customWidth="1"/>
    <col min="3" max="3" width="22" style="112" customWidth="1"/>
    <col min="4" max="4" width="25.42578125" style="112" customWidth="1"/>
    <col min="5" max="5" width="7.42578125" style="112" customWidth="1"/>
    <col min="6" max="7" width="9.140625" style="112"/>
    <col min="8" max="8" width="20.140625" style="112" customWidth="1"/>
    <col min="9" max="16384" width="9.140625" style="112"/>
  </cols>
  <sheetData>
    <row r="1" spans="1:8" ht="15.75" x14ac:dyDescent="0.25">
      <c r="A1" s="125"/>
      <c r="B1" s="125"/>
      <c r="C1" s="126" t="s">
        <v>159</v>
      </c>
      <c r="D1" s="126" t="s">
        <v>83</v>
      </c>
      <c r="E1" s="127"/>
    </row>
    <row r="2" spans="1:8" ht="15.75" x14ac:dyDescent="0.25">
      <c r="A2" s="125"/>
      <c r="B2" s="125"/>
      <c r="C2" s="128" t="s">
        <v>196</v>
      </c>
      <c r="D2" s="133" t="s">
        <v>437</v>
      </c>
    </row>
    <row r="3" spans="1:8" ht="15.75" x14ac:dyDescent="0.25">
      <c r="A3" s="125"/>
      <c r="B3" s="125"/>
      <c r="C3" s="128" t="s">
        <v>197</v>
      </c>
      <c r="D3" s="133" t="s">
        <v>86</v>
      </c>
    </row>
    <row r="4" spans="1:8" ht="15.75" x14ac:dyDescent="0.25">
      <c r="A4" s="125"/>
      <c r="B4" s="125"/>
      <c r="C4" s="128" t="s">
        <v>172</v>
      </c>
      <c r="D4" s="133" t="s">
        <v>425</v>
      </c>
    </row>
    <row r="5" spans="1:8" ht="15.75" x14ac:dyDescent="0.25">
      <c r="A5" s="125"/>
      <c r="B5" s="125"/>
      <c r="C5" s="125"/>
      <c r="D5" s="125"/>
      <c r="E5" s="125"/>
    </row>
    <row r="6" spans="1:8" x14ac:dyDescent="0.25">
      <c r="A6" s="490" t="s">
        <v>198</v>
      </c>
      <c r="B6" s="490"/>
      <c r="C6" s="490"/>
      <c r="D6" s="490"/>
      <c r="E6" s="490"/>
    </row>
    <row r="7" spans="1:8" x14ac:dyDescent="0.25">
      <c r="A7" s="490" t="s">
        <v>367</v>
      </c>
      <c r="B7" s="490"/>
      <c r="C7" s="490"/>
      <c r="D7" s="490"/>
      <c r="E7" s="490"/>
    </row>
    <row r="8" spans="1:8" ht="15.75" x14ac:dyDescent="0.25">
      <c r="A8" s="195"/>
      <c r="B8" s="125"/>
      <c r="C8" s="125"/>
      <c r="D8" s="125"/>
      <c r="E8" s="125"/>
    </row>
    <row r="9" spans="1:8" x14ac:dyDescent="0.25">
      <c r="A9" s="204" t="s">
        <v>1</v>
      </c>
      <c r="B9" s="204" t="s">
        <v>88</v>
      </c>
      <c r="C9" s="204" t="s">
        <v>148</v>
      </c>
      <c r="D9" s="204" t="s">
        <v>171</v>
      </c>
      <c r="E9" s="204" t="s">
        <v>8</v>
      </c>
    </row>
    <row r="10" spans="1:8" x14ac:dyDescent="0.25">
      <c r="A10" s="491">
        <v>1</v>
      </c>
      <c r="B10" s="206" t="s">
        <v>110</v>
      </c>
      <c r="C10" s="487" t="s">
        <v>298</v>
      </c>
      <c r="D10" s="487" t="s">
        <v>464</v>
      </c>
      <c r="E10" s="489"/>
    </row>
    <row r="11" spans="1:8" x14ac:dyDescent="0.25">
      <c r="A11" s="492"/>
      <c r="B11" s="228" t="s">
        <v>112</v>
      </c>
      <c r="C11" s="488"/>
      <c r="D11" s="488"/>
      <c r="E11" s="489"/>
      <c r="H11" s="495"/>
    </row>
    <row r="12" spans="1:8" ht="14.45" customHeight="1" x14ac:dyDescent="0.25">
      <c r="A12" s="491">
        <v>2</v>
      </c>
      <c r="B12" s="393" t="s">
        <v>467</v>
      </c>
      <c r="C12" s="487" t="s">
        <v>469</v>
      </c>
      <c r="D12" s="487" t="s">
        <v>464</v>
      </c>
      <c r="E12" s="489"/>
      <c r="H12" s="495"/>
    </row>
    <row r="13" spans="1:8" ht="14.45" customHeight="1" x14ac:dyDescent="0.25">
      <c r="A13" s="492"/>
      <c r="B13" s="392" t="s">
        <v>121</v>
      </c>
      <c r="C13" s="488"/>
      <c r="D13" s="488"/>
      <c r="E13" s="489"/>
    </row>
    <row r="14" spans="1:8" ht="16.5" customHeight="1" x14ac:dyDescent="0.25">
      <c r="A14" s="491">
        <v>3</v>
      </c>
      <c r="B14" s="207" t="s">
        <v>208</v>
      </c>
      <c r="C14" s="487" t="s">
        <v>298</v>
      </c>
      <c r="D14" s="487" t="s">
        <v>465</v>
      </c>
      <c r="E14" s="489"/>
    </row>
    <row r="15" spans="1:8" ht="14.45" customHeight="1" x14ac:dyDescent="0.25">
      <c r="A15" s="492"/>
      <c r="B15" s="228" t="s">
        <v>123</v>
      </c>
      <c r="C15" s="488"/>
      <c r="D15" s="488"/>
      <c r="E15" s="489"/>
    </row>
    <row r="16" spans="1:8" ht="17.25" customHeight="1" x14ac:dyDescent="0.25">
      <c r="A16" s="491">
        <v>4</v>
      </c>
      <c r="B16" s="496" t="s">
        <v>342</v>
      </c>
      <c r="C16" s="487" t="s">
        <v>195</v>
      </c>
      <c r="D16" s="487" t="s">
        <v>465</v>
      </c>
      <c r="E16" s="489"/>
    </row>
    <row r="17" spans="1:5" ht="15.75" customHeight="1" x14ac:dyDescent="0.25">
      <c r="A17" s="492"/>
      <c r="B17" s="497"/>
      <c r="C17" s="488"/>
      <c r="D17" s="488"/>
      <c r="E17" s="489"/>
    </row>
    <row r="18" spans="1:5" x14ac:dyDescent="0.25">
      <c r="A18" s="491">
        <v>5</v>
      </c>
      <c r="B18" s="206" t="s">
        <v>266</v>
      </c>
      <c r="C18" s="487" t="s">
        <v>335</v>
      </c>
      <c r="D18" s="487" t="s">
        <v>466</v>
      </c>
      <c r="E18" s="206"/>
    </row>
    <row r="19" spans="1:5" ht="15.75" x14ac:dyDescent="0.25">
      <c r="A19" s="492"/>
      <c r="B19" s="162" t="s">
        <v>265</v>
      </c>
      <c r="C19" s="488"/>
      <c r="D19" s="488"/>
      <c r="E19" s="209"/>
    </row>
    <row r="20" spans="1:5" x14ac:dyDescent="0.25">
      <c r="A20" s="491">
        <v>6</v>
      </c>
      <c r="B20" s="208" t="s">
        <v>115</v>
      </c>
      <c r="C20" s="487" t="s">
        <v>298</v>
      </c>
      <c r="D20" s="487" t="s">
        <v>309</v>
      </c>
      <c r="E20" s="206"/>
    </row>
    <row r="21" spans="1:5" x14ac:dyDescent="0.25">
      <c r="A21" s="492"/>
      <c r="B21" s="228" t="s">
        <v>117</v>
      </c>
      <c r="C21" s="488"/>
      <c r="D21" s="488"/>
      <c r="E21" s="210"/>
    </row>
    <row r="22" spans="1:5" ht="28.5" x14ac:dyDescent="0.25">
      <c r="A22" s="491">
        <v>7</v>
      </c>
      <c r="B22" s="394" t="s">
        <v>390</v>
      </c>
      <c r="C22" s="487" t="s">
        <v>298</v>
      </c>
      <c r="D22" s="487" t="s">
        <v>309</v>
      </c>
      <c r="E22" s="206"/>
    </row>
    <row r="23" spans="1:5" x14ac:dyDescent="0.25">
      <c r="A23" s="492"/>
      <c r="B23" s="394" t="s">
        <v>124</v>
      </c>
      <c r="C23" s="488"/>
      <c r="D23" s="488"/>
      <c r="E23" s="210"/>
    </row>
    <row r="24" spans="1:5" x14ac:dyDescent="0.25">
      <c r="A24" s="491">
        <v>8</v>
      </c>
      <c r="B24" s="208" t="s">
        <v>132</v>
      </c>
      <c r="C24" s="487" t="s">
        <v>195</v>
      </c>
      <c r="D24" s="487" t="s">
        <v>468</v>
      </c>
      <c r="E24" s="206"/>
    </row>
    <row r="25" spans="1:5" x14ac:dyDescent="0.25">
      <c r="A25" s="492"/>
      <c r="B25" s="228" t="s">
        <v>194</v>
      </c>
      <c r="C25" s="488"/>
      <c r="D25" s="488"/>
      <c r="E25" s="209"/>
    </row>
    <row r="26" spans="1:5" x14ac:dyDescent="0.25">
      <c r="A26" s="491">
        <v>9</v>
      </c>
      <c r="B26" s="205" t="s">
        <v>238</v>
      </c>
      <c r="C26" s="487" t="s">
        <v>335</v>
      </c>
      <c r="D26" s="487" t="s">
        <v>485</v>
      </c>
      <c r="E26" s="210"/>
    </row>
    <row r="27" spans="1:5" x14ac:dyDescent="0.25">
      <c r="A27" s="492"/>
      <c r="B27" s="227" t="s">
        <v>104</v>
      </c>
      <c r="C27" s="488"/>
      <c r="D27" s="488"/>
      <c r="E27" s="210"/>
    </row>
    <row r="28" spans="1:5" ht="22.5" customHeight="1" x14ac:dyDescent="0.25">
      <c r="A28" s="211">
        <v>10</v>
      </c>
      <c r="B28" s="208" t="s">
        <v>489</v>
      </c>
      <c r="C28" s="212" t="s">
        <v>125</v>
      </c>
      <c r="D28" s="213" t="s">
        <v>244</v>
      </c>
      <c r="E28" s="214" t="s">
        <v>486</v>
      </c>
    </row>
    <row r="29" spans="1:5" x14ac:dyDescent="0.25">
      <c r="A29" s="491">
        <v>11</v>
      </c>
      <c r="B29" s="205" t="s">
        <v>126</v>
      </c>
      <c r="C29" s="487" t="s">
        <v>293</v>
      </c>
      <c r="D29" s="487" t="s">
        <v>490</v>
      </c>
      <c r="E29" s="493"/>
    </row>
    <row r="30" spans="1:5" x14ac:dyDescent="0.25">
      <c r="A30" s="492"/>
      <c r="B30" s="229" t="s">
        <v>192</v>
      </c>
      <c r="C30" s="488"/>
      <c r="D30" s="488"/>
      <c r="E30" s="494"/>
    </row>
    <row r="31" spans="1:5" x14ac:dyDescent="0.25">
      <c r="A31" s="211">
        <v>12</v>
      </c>
      <c r="B31" s="208" t="s">
        <v>230</v>
      </c>
      <c r="C31" s="212" t="s">
        <v>125</v>
      </c>
      <c r="D31" s="215" t="s">
        <v>491</v>
      </c>
      <c r="E31" s="214" t="s">
        <v>486</v>
      </c>
    </row>
    <row r="32" spans="1:5" x14ac:dyDescent="0.25">
      <c r="A32" s="216">
        <v>13</v>
      </c>
      <c r="B32" s="208" t="s">
        <v>232</v>
      </c>
      <c r="C32" s="206" t="s">
        <v>125</v>
      </c>
      <c r="D32" s="217" t="s">
        <v>170</v>
      </c>
      <c r="E32" s="214" t="s">
        <v>486</v>
      </c>
    </row>
    <row r="33" spans="1:5" x14ac:dyDescent="0.25">
      <c r="A33" s="216">
        <v>14</v>
      </c>
      <c r="B33" s="218" t="s">
        <v>231</v>
      </c>
      <c r="C33" s="219" t="s">
        <v>125</v>
      </c>
      <c r="D33" s="215" t="s">
        <v>185</v>
      </c>
      <c r="E33" s="220" t="s">
        <v>486</v>
      </c>
    </row>
    <row r="34" spans="1:5" x14ac:dyDescent="0.25">
      <c r="A34" s="216">
        <v>15</v>
      </c>
      <c r="B34" s="437" t="s">
        <v>487</v>
      </c>
      <c r="C34" s="215" t="s">
        <v>125</v>
      </c>
      <c r="D34" s="219" t="s">
        <v>488</v>
      </c>
      <c r="E34" s="220" t="s">
        <v>486</v>
      </c>
    </row>
    <row r="35" spans="1:5" x14ac:dyDescent="0.25">
      <c r="A35" s="221"/>
      <c r="B35" s="230"/>
      <c r="C35" s="222"/>
      <c r="D35" s="223"/>
      <c r="E35" s="224"/>
    </row>
    <row r="36" spans="1:5" x14ac:dyDescent="0.25">
      <c r="A36" s="225"/>
      <c r="B36" s="225"/>
      <c r="C36" s="225"/>
      <c r="D36" s="226" t="s">
        <v>97</v>
      </c>
      <c r="E36" s="225"/>
    </row>
    <row r="37" spans="1:5" x14ac:dyDescent="0.25">
      <c r="A37" s="225"/>
      <c r="B37" s="225"/>
      <c r="C37" s="225"/>
      <c r="D37" s="225"/>
      <c r="E37" s="225"/>
    </row>
    <row r="38" spans="1:5" x14ac:dyDescent="0.25">
      <c r="A38" s="225"/>
      <c r="B38" s="225"/>
      <c r="C38" s="225"/>
      <c r="D38" s="225"/>
      <c r="E38" s="225"/>
    </row>
    <row r="39" spans="1:5" x14ac:dyDescent="0.25">
      <c r="A39" s="225"/>
      <c r="B39" s="225"/>
      <c r="C39" s="225"/>
      <c r="D39" s="231" t="s">
        <v>285</v>
      </c>
      <c r="E39" s="225"/>
    </row>
    <row r="40" spans="1:5" x14ac:dyDescent="0.25">
      <c r="A40" s="225"/>
      <c r="B40" s="225"/>
      <c r="C40" s="225"/>
      <c r="D40" s="231" t="s">
        <v>277</v>
      </c>
      <c r="E40" s="225"/>
    </row>
  </sheetData>
  <mergeCells count="39">
    <mergeCell ref="H11:H12"/>
    <mergeCell ref="C22:C23"/>
    <mergeCell ref="D22:D23"/>
    <mergeCell ref="A22:A23"/>
    <mergeCell ref="D20:D21"/>
    <mergeCell ref="A20:A21"/>
    <mergeCell ref="C20:C21"/>
    <mergeCell ref="A18:A19"/>
    <mergeCell ref="A12:A13"/>
    <mergeCell ref="A14:A15"/>
    <mergeCell ref="A16:A17"/>
    <mergeCell ref="B16:B17"/>
    <mergeCell ref="D12:D13"/>
    <mergeCell ref="E12:E13"/>
    <mergeCell ref="C18:C19"/>
    <mergeCell ref="D18:D19"/>
    <mergeCell ref="E29:E30"/>
    <mergeCell ref="A26:A27"/>
    <mergeCell ref="A29:A30"/>
    <mergeCell ref="C24:C25"/>
    <mergeCell ref="D24:D25"/>
    <mergeCell ref="C26:C27"/>
    <mergeCell ref="D26:D27"/>
    <mergeCell ref="C29:C30"/>
    <mergeCell ref="D29:D30"/>
    <mergeCell ref="A24:A25"/>
    <mergeCell ref="A6:E6"/>
    <mergeCell ref="A7:E7"/>
    <mergeCell ref="A10:A11"/>
    <mergeCell ref="C10:C11"/>
    <mergeCell ref="D10:D11"/>
    <mergeCell ref="E10:E11"/>
    <mergeCell ref="D14:D15"/>
    <mergeCell ref="D16:D17"/>
    <mergeCell ref="E14:E15"/>
    <mergeCell ref="E16:E17"/>
    <mergeCell ref="C12:C13"/>
    <mergeCell ref="C14:C15"/>
    <mergeCell ref="C16:C17"/>
  </mergeCells>
  <pageMargins left="0.93" right="0.70866141732283472" top="0.74803149606299213" bottom="2.0699999999999998" header="0.31496062992125984" footer="0.31496062992125984"/>
  <pageSetup paperSize="5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opLeftCell="A6" zoomScale="70" zoomScaleNormal="70" workbookViewId="0">
      <selection activeCell="N25" sqref="N25"/>
    </sheetView>
  </sheetViews>
  <sheetFormatPr defaultRowHeight="15" x14ac:dyDescent="0.25"/>
  <cols>
    <col min="1" max="1" width="4.7109375" customWidth="1"/>
    <col min="2" max="2" width="26.28515625" customWidth="1"/>
    <col min="3" max="14" width="6.7109375" customWidth="1"/>
    <col min="15" max="15" width="3.7109375" customWidth="1"/>
  </cols>
  <sheetData>
    <row r="1" spans="1:14" ht="18.75" x14ac:dyDescent="0.3">
      <c r="A1" s="500" t="s">
        <v>306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</row>
    <row r="2" spans="1:14" ht="18.75" x14ac:dyDescent="0.3">
      <c r="A2" s="500" t="s">
        <v>140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</row>
    <row r="3" spans="1:14" ht="15.75" x14ac:dyDescent="0.25">
      <c r="A3" s="501" t="s">
        <v>416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</row>
    <row r="4" spans="1:14" ht="15.75" x14ac:dyDescent="0.25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spans="1:14" ht="15.75" x14ac:dyDescent="0.25">
      <c r="A5" s="502" t="s">
        <v>1</v>
      </c>
      <c r="B5" s="504" t="s">
        <v>181</v>
      </c>
      <c r="C5" s="506" t="s">
        <v>12</v>
      </c>
      <c r="D5" s="506"/>
      <c r="E5" s="506"/>
      <c r="F5" s="506"/>
      <c r="G5" s="507" t="s">
        <v>13</v>
      </c>
      <c r="H5" s="506"/>
      <c r="I5" s="506"/>
      <c r="J5" s="508"/>
      <c r="K5" s="507" t="s">
        <v>14</v>
      </c>
      <c r="L5" s="506"/>
      <c r="M5" s="506"/>
      <c r="N5" s="506"/>
    </row>
    <row r="6" spans="1:14" ht="16.5" thickBot="1" x14ac:dyDescent="0.3">
      <c r="A6" s="503"/>
      <c r="B6" s="505"/>
      <c r="C6" s="50" t="s">
        <v>17</v>
      </c>
      <c r="D6" s="50" t="s">
        <v>18</v>
      </c>
      <c r="E6" s="50" t="s">
        <v>19</v>
      </c>
      <c r="F6" s="50" t="s">
        <v>20</v>
      </c>
      <c r="G6" s="51" t="s">
        <v>17</v>
      </c>
      <c r="H6" s="50" t="s">
        <v>18</v>
      </c>
      <c r="I6" s="50" t="s">
        <v>19</v>
      </c>
      <c r="J6" s="184" t="s">
        <v>20</v>
      </c>
      <c r="K6" s="51" t="s">
        <v>17</v>
      </c>
      <c r="L6" s="50" t="s">
        <v>18</v>
      </c>
      <c r="M6" s="50" t="s">
        <v>19</v>
      </c>
      <c r="N6" s="50" t="s">
        <v>20</v>
      </c>
    </row>
    <row r="7" spans="1:14" ht="18.75" x14ac:dyDescent="0.25">
      <c r="A7" s="147">
        <v>1</v>
      </c>
      <c r="B7" s="136" t="s">
        <v>217</v>
      </c>
      <c r="C7" s="137">
        <v>3</v>
      </c>
      <c r="D7" s="137">
        <v>3</v>
      </c>
      <c r="E7" s="137">
        <v>3</v>
      </c>
      <c r="F7" s="137">
        <v>3</v>
      </c>
      <c r="G7" s="166">
        <v>3</v>
      </c>
      <c r="H7" s="137">
        <v>3</v>
      </c>
      <c r="I7" s="137">
        <v>3</v>
      </c>
      <c r="J7" s="137">
        <v>3</v>
      </c>
      <c r="K7" s="166">
        <v>3</v>
      </c>
      <c r="L7" s="137">
        <v>3</v>
      </c>
      <c r="M7" s="137">
        <v>3</v>
      </c>
      <c r="N7" s="185">
        <v>3</v>
      </c>
    </row>
    <row r="8" spans="1:14" ht="18.75" x14ac:dyDescent="0.25">
      <c r="A8" s="163">
        <v>2</v>
      </c>
      <c r="B8" s="136" t="s">
        <v>137</v>
      </c>
      <c r="C8" s="137">
        <v>3</v>
      </c>
      <c r="D8" s="137">
        <v>3</v>
      </c>
      <c r="E8" s="137">
        <v>3</v>
      </c>
      <c r="F8" s="137">
        <v>3</v>
      </c>
      <c r="G8" s="166">
        <v>3</v>
      </c>
      <c r="H8" s="137">
        <v>3</v>
      </c>
      <c r="I8" s="137">
        <v>3</v>
      </c>
      <c r="J8" s="137">
        <v>3</v>
      </c>
      <c r="K8" s="166">
        <v>3</v>
      </c>
      <c r="L8" s="137">
        <v>3</v>
      </c>
      <c r="M8" s="137">
        <v>3</v>
      </c>
      <c r="N8" s="185">
        <v>3</v>
      </c>
    </row>
    <row r="9" spans="1:14" ht="18.75" x14ac:dyDescent="0.25">
      <c r="A9" s="163">
        <v>3</v>
      </c>
      <c r="B9" s="136" t="s">
        <v>138</v>
      </c>
      <c r="C9" s="137">
        <v>6</v>
      </c>
      <c r="D9" s="137">
        <v>6</v>
      </c>
      <c r="E9" s="137">
        <v>6</v>
      </c>
      <c r="F9" s="137">
        <v>6</v>
      </c>
      <c r="G9" s="166">
        <v>6</v>
      </c>
      <c r="H9" s="137">
        <v>6</v>
      </c>
      <c r="I9" s="137">
        <v>6</v>
      </c>
      <c r="J9" s="137">
        <v>6</v>
      </c>
      <c r="K9" s="166">
        <v>6</v>
      </c>
      <c r="L9" s="137">
        <v>6</v>
      </c>
      <c r="M9" s="137">
        <v>6</v>
      </c>
      <c r="N9" s="185">
        <v>6</v>
      </c>
    </row>
    <row r="10" spans="1:14" ht="18.75" x14ac:dyDescent="0.25">
      <c r="A10" s="163">
        <v>4</v>
      </c>
      <c r="B10" s="136" t="s">
        <v>24</v>
      </c>
      <c r="C10" s="137">
        <v>4</v>
      </c>
      <c r="D10" s="137">
        <v>4</v>
      </c>
      <c r="E10" s="137">
        <v>4</v>
      </c>
      <c r="F10" s="137">
        <v>4</v>
      </c>
      <c r="G10" s="166">
        <v>4</v>
      </c>
      <c r="H10" s="137">
        <v>4</v>
      </c>
      <c r="I10" s="137">
        <v>4</v>
      </c>
      <c r="J10" s="137">
        <v>4</v>
      </c>
      <c r="K10" s="166">
        <v>4</v>
      </c>
      <c r="L10" s="137">
        <v>4</v>
      </c>
      <c r="M10" s="137">
        <v>4</v>
      </c>
      <c r="N10" s="185">
        <v>4</v>
      </c>
    </row>
    <row r="11" spans="1:14" ht="18.75" x14ac:dyDescent="0.25">
      <c r="A11" s="163">
        <v>5</v>
      </c>
      <c r="B11" s="136" t="s">
        <v>37</v>
      </c>
      <c r="C11" s="137">
        <v>5</v>
      </c>
      <c r="D11" s="137">
        <v>5</v>
      </c>
      <c r="E11" s="137">
        <v>5</v>
      </c>
      <c r="F11" s="137">
        <v>5</v>
      </c>
      <c r="G11" s="166">
        <v>5</v>
      </c>
      <c r="H11" s="137">
        <v>5</v>
      </c>
      <c r="I11" s="137">
        <v>5</v>
      </c>
      <c r="J11" s="137">
        <v>5</v>
      </c>
      <c r="K11" s="166">
        <v>5</v>
      </c>
      <c r="L11" s="137">
        <v>5</v>
      </c>
      <c r="M11" s="137">
        <v>5</v>
      </c>
      <c r="N11" s="185">
        <v>5</v>
      </c>
    </row>
    <row r="12" spans="1:14" ht="18.75" x14ac:dyDescent="0.25">
      <c r="A12" s="163">
        <v>6</v>
      </c>
      <c r="B12" s="136" t="s">
        <v>26</v>
      </c>
      <c r="C12" s="137">
        <v>5</v>
      </c>
      <c r="D12" s="137">
        <v>5</v>
      </c>
      <c r="E12" s="137">
        <v>5</v>
      </c>
      <c r="F12" s="137">
        <v>5</v>
      </c>
      <c r="G12" s="166">
        <v>5</v>
      </c>
      <c r="H12" s="137">
        <v>5</v>
      </c>
      <c r="I12" s="137">
        <v>5</v>
      </c>
      <c r="J12" s="137">
        <v>5</v>
      </c>
      <c r="K12" s="166">
        <v>5</v>
      </c>
      <c r="L12" s="137">
        <v>5</v>
      </c>
      <c r="M12" s="137">
        <v>5</v>
      </c>
      <c r="N12" s="185">
        <v>5</v>
      </c>
    </row>
    <row r="13" spans="1:14" ht="18.75" x14ac:dyDescent="0.25">
      <c r="A13" s="163">
        <v>7</v>
      </c>
      <c r="B13" s="136" t="s">
        <v>29</v>
      </c>
      <c r="C13" s="137">
        <v>4</v>
      </c>
      <c r="D13" s="137">
        <v>4</v>
      </c>
      <c r="E13" s="137">
        <v>4</v>
      </c>
      <c r="F13" s="137">
        <v>4</v>
      </c>
      <c r="G13" s="166">
        <v>4</v>
      </c>
      <c r="H13" s="137">
        <v>4</v>
      </c>
      <c r="I13" s="137">
        <v>4</v>
      </c>
      <c r="J13" s="137">
        <v>4</v>
      </c>
      <c r="K13" s="166">
        <v>4</v>
      </c>
      <c r="L13" s="137">
        <v>4</v>
      </c>
      <c r="M13" s="137">
        <v>4</v>
      </c>
      <c r="N13" s="185">
        <v>4</v>
      </c>
    </row>
    <row r="14" spans="1:14" ht="18.75" x14ac:dyDescent="0.25">
      <c r="A14" s="163">
        <v>8</v>
      </c>
      <c r="B14" s="376" t="s">
        <v>43</v>
      </c>
      <c r="C14" s="378"/>
      <c r="D14" s="378"/>
      <c r="E14" s="378"/>
      <c r="F14" s="378"/>
      <c r="G14" s="166">
        <v>3</v>
      </c>
      <c r="H14" s="137">
        <v>3</v>
      </c>
      <c r="I14" s="137">
        <v>3</v>
      </c>
      <c r="J14" s="137">
        <v>3</v>
      </c>
      <c r="K14" s="166">
        <v>3</v>
      </c>
      <c r="L14" s="137">
        <v>3</v>
      </c>
      <c r="M14" s="137">
        <v>3</v>
      </c>
      <c r="N14" s="185">
        <v>3</v>
      </c>
    </row>
    <row r="15" spans="1:14" ht="18.75" x14ac:dyDescent="0.25">
      <c r="A15" s="163">
        <v>9</v>
      </c>
      <c r="B15" s="136" t="s">
        <v>222</v>
      </c>
      <c r="C15" s="139">
        <v>3</v>
      </c>
      <c r="D15" s="139">
        <v>3</v>
      </c>
      <c r="E15" s="139">
        <v>3</v>
      </c>
      <c r="F15" s="139">
        <v>3</v>
      </c>
      <c r="G15" s="167">
        <v>3</v>
      </c>
      <c r="H15" s="139">
        <v>3</v>
      </c>
      <c r="I15" s="139">
        <v>3</v>
      </c>
      <c r="J15" s="139">
        <v>3</v>
      </c>
      <c r="K15" s="167">
        <v>3</v>
      </c>
      <c r="L15" s="139">
        <v>3</v>
      </c>
      <c r="M15" s="139">
        <v>3</v>
      </c>
      <c r="N15" s="365">
        <v>3</v>
      </c>
    </row>
    <row r="16" spans="1:14" ht="18.75" x14ac:dyDescent="0.25">
      <c r="A16" s="163">
        <v>10</v>
      </c>
      <c r="B16" s="377" t="s">
        <v>447</v>
      </c>
      <c r="C16" s="378">
        <v>3</v>
      </c>
      <c r="D16" s="378">
        <v>3</v>
      </c>
      <c r="E16" s="378">
        <v>3</v>
      </c>
      <c r="F16" s="378">
        <v>3</v>
      </c>
      <c r="G16" s="166">
        <v>2</v>
      </c>
      <c r="H16" s="137">
        <v>2</v>
      </c>
      <c r="I16" s="137">
        <v>2</v>
      </c>
      <c r="J16" s="137">
        <v>2</v>
      </c>
      <c r="K16" s="166">
        <v>2</v>
      </c>
      <c r="L16" s="137">
        <v>2</v>
      </c>
      <c r="M16" s="137">
        <v>2</v>
      </c>
      <c r="N16" s="185">
        <v>2</v>
      </c>
    </row>
    <row r="17" spans="1:14" ht="18.75" x14ac:dyDescent="0.25">
      <c r="A17" s="163">
        <v>11</v>
      </c>
      <c r="B17" s="140" t="s">
        <v>216</v>
      </c>
      <c r="C17" s="139">
        <v>2</v>
      </c>
      <c r="D17" s="139">
        <v>2</v>
      </c>
      <c r="E17" s="139">
        <v>2</v>
      </c>
      <c r="F17" s="139">
        <v>2</v>
      </c>
      <c r="G17" s="152">
        <v>2</v>
      </c>
      <c r="H17" s="152">
        <v>2</v>
      </c>
      <c r="I17" s="152">
        <v>2</v>
      </c>
      <c r="J17" s="152">
        <v>2</v>
      </c>
      <c r="K17" s="152">
        <v>2</v>
      </c>
      <c r="L17" s="152">
        <v>2</v>
      </c>
      <c r="M17" s="152">
        <v>2</v>
      </c>
      <c r="N17" s="366">
        <v>2</v>
      </c>
    </row>
    <row r="18" spans="1:14" ht="18.75" x14ac:dyDescent="0.25">
      <c r="A18" s="163">
        <v>12</v>
      </c>
      <c r="B18" s="136" t="s">
        <v>31</v>
      </c>
      <c r="C18" s="137">
        <v>2</v>
      </c>
      <c r="D18" s="137">
        <v>2</v>
      </c>
      <c r="E18" s="137">
        <v>2</v>
      </c>
      <c r="F18" s="137">
        <v>2</v>
      </c>
      <c r="G18" s="166">
        <v>2</v>
      </c>
      <c r="H18" s="137">
        <v>2</v>
      </c>
      <c r="I18" s="137">
        <v>2</v>
      </c>
      <c r="J18" s="137">
        <v>2</v>
      </c>
      <c r="K18" s="166">
        <v>2</v>
      </c>
      <c r="L18" s="137">
        <v>2</v>
      </c>
      <c r="M18" s="137">
        <v>2</v>
      </c>
      <c r="N18" s="185">
        <v>2</v>
      </c>
    </row>
    <row r="19" spans="1:14" ht="18.75" x14ac:dyDescent="0.25">
      <c r="A19" s="164">
        <v>13</v>
      </c>
      <c r="B19" s="140" t="s">
        <v>173</v>
      </c>
      <c r="C19" s="142">
        <v>1</v>
      </c>
      <c r="D19" s="142">
        <v>1</v>
      </c>
      <c r="E19" s="142">
        <v>1</v>
      </c>
      <c r="F19" s="142">
        <v>1</v>
      </c>
      <c r="G19" s="168">
        <v>1</v>
      </c>
      <c r="H19" s="142">
        <v>1</v>
      </c>
      <c r="I19" s="142">
        <v>1</v>
      </c>
      <c r="J19" s="142">
        <v>1</v>
      </c>
      <c r="K19" s="168">
        <v>1</v>
      </c>
      <c r="L19" s="142">
        <v>1</v>
      </c>
      <c r="M19" s="142">
        <v>1</v>
      </c>
      <c r="N19" s="367">
        <v>1</v>
      </c>
    </row>
    <row r="20" spans="1:14" ht="18.75" x14ac:dyDescent="0.25">
      <c r="A20" s="202">
        <v>14</v>
      </c>
      <c r="B20" s="233" t="s">
        <v>189</v>
      </c>
      <c r="C20" s="185">
        <v>0</v>
      </c>
      <c r="D20" s="185">
        <v>0</v>
      </c>
      <c r="E20" s="185">
        <v>0</v>
      </c>
      <c r="F20" s="185">
        <v>0</v>
      </c>
      <c r="G20" s="235">
        <v>0</v>
      </c>
      <c r="H20" s="185">
        <v>0</v>
      </c>
      <c r="I20" s="185">
        <v>0</v>
      </c>
      <c r="J20" s="185">
        <v>0</v>
      </c>
      <c r="K20" s="234">
        <v>0</v>
      </c>
      <c r="L20" s="185">
        <v>0</v>
      </c>
      <c r="M20" s="185">
        <v>0</v>
      </c>
      <c r="N20" s="185">
        <v>0</v>
      </c>
    </row>
    <row r="21" spans="1:14" x14ac:dyDescent="0.25">
      <c r="A21" s="498" t="s">
        <v>141</v>
      </c>
      <c r="B21" s="499"/>
      <c r="C21" s="379">
        <f>SUM(C7:C20)</f>
        <v>41</v>
      </c>
      <c r="D21" s="203">
        <f>SUM(D7:D20)</f>
        <v>41</v>
      </c>
      <c r="E21" s="203">
        <f t="shared" ref="E21:I21" si="0">SUM(E7:E19)</f>
        <v>41</v>
      </c>
      <c r="F21" s="203">
        <f>SUM(F7:F19)</f>
        <v>41</v>
      </c>
      <c r="G21" s="232">
        <f t="shared" si="0"/>
        <v>43</v>
      </c>
      <c r="H21" s="203">
        <f t="shared" si="0"/>
        <v>43</v>
      </c>
      <c r="I21" s="203">
        <f t="shared" si="0"/>
        <v>43</v>
      </c>
      <c r="J21" s="241">
        <f>SUM(J7:J19)</f>
        <v>43</v>
      </c>
      <c r="K21" s="232">
        <f>SUM(K7:K19)</f>
        <v>43</v>
      </c>
      <c r="L21" s="364">
        <f>SUM(L7:L19)</f>
        <v>43</v>
      </c>
      <c r="M21" s="364">
        <f>SUM(M7:M19)</f>
        <v>43</v>
      </c>
      <c r="N21" s="364">
        <f>SUM(N7:N19)</f>
        <v>43</v>
      </c>
    </row>
  </sheetData>
  <mergeCells count="9">
    <mergeCell ref="A21:B21"/>
    <mergeCell ref="A1:N1"/>
    <mergeCell ref="A2:N2"/>
    <mergeCell ref="A3:N3"/>
    <mergeCell ref="A5:A6"/>
    <mergeCell ref="B5:B6"/>
    <mergeCell ref="C5:F5"/>
    <mergeCell ref="G5:J5"/>
    <mergeCell ref="K5:N5"/>
  </mergeCells>
  <pageMargins left="2.16" right="0.70866141732283472" top="0.74803149606299213" bottom="0.74803149606299213" header="0.31496062992125984" footer="0.31496062992125984"/>
  <pageSetup paperSize="5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7" zoomScale="90" zoomScaleNormal="90" workbookViewId="0">
      <selection activeCell="K15" sqref="K15"/>
    </sheetView>
  </sheetViews>
  <sheetFormatPr defaultRowHeight="15" x14ac:dyDescent="0.25"/>
  <cols>
    <col min="1" max="1" width="6" customWidth="1"/>
    <col min="2" max="2" width="29.28515625" customWidth="1"/>
    <col min="3" max="3" width="7.5703125" customWidth="1"/>
    <col min="4" max="4" width="7.28515625" customWidth="1"/>
    <col min="5" max="5" width="7.42578125" customWidth="1"/>
    <col min="6" max="6" width="7" customWidth="1"/>
    <col min="7" max="7" width="7.28515625" customWidth="1"/>
    <col min="8" max="8" width="7" customWidth="1"/>
  </cols>
  <sheetData>
    <row r="1" spans="1:8" ht="18.75" x14ac:dyDescent="0.3">
      <c r="A1" s="500" t="s">
        <v>209</v>
      </c>
      <c r="B1" s="500"/>
      <c r="C1" s="500"/>
      <c r="D1" s="500"/>
      <c r="E1" s="500"/>
      <c r="F1" s="500"/>
      <c r="G1" s="500"/>
      <c r="H1" s="500"/>
    </row>
    <row r="2" spans="1:8" ht="18.75" x14ac:dyDescent="0.3">
      <c r="A2" s="500" t="s">
        <v>140</v>
      </c>
      <c r="B2" s="500"/>
      <c r="C2" s="500"/>
      <c r="D2" s="500"/>
      <c r="E2" s="500"/>
      <c r="F2" s="500"/>
      <c r="G2" s="500"/>
      <c r="H2" s="500"/>
    </row>
    <row r="3" spans="1:8" ht="15.75" x14ac:dyDescent="0.25">
      <c r="A3" s="513" t="s">
        <v>416</v>
      </c>
      <c r="B3" s="513"/>
      <c r="C3" s="513"/>
      <c r="D3" s="513"/>
      <c r="E3" s="513"/>
      <c r="F3" s="513"/>
      <c r="G3" s="513"/>
      <c r="H3" s="513"/>
    </row>
    <row r="5" spans="1:8" ht="15.75" x14ac:dyDescent="0.25">
      <c r="A5" s="514" t="s">
        <v>1</v>
      </c>
      <c r="B5" s="514" t="s">
        <v>210</v>
      </c>
      <c r="C5" s="516" t="s">
        <v>211</v>
      </c>
      <c r="D5" s="517"/>
      <c r="E5" s="517"/>
      <c r="F5" s="517"/>
      <c r="G5" s="517"/>
      <c r="H5" s="518"/>
    </row>
    <row r="6" spans="1:8" ht="18.75" x14ac:dyDescent="0.25">
      <c r="A6" s="515"/>
      <c r="B6" s="515"/>
      <c r="C6" s="509" t="s">
        <v>212</v>
      </c>
      <c r="D6" s="510"/>
      <c r="E6" s="509" t="s">
        <v>213</v>
      </c>
      <c r="F6" s="510"/>
      <c r="G6" s="509" t="s">
        <v>214</v>
      </c>
      <c r="H6" s="510"/>
    </row>
    <row r="7" spans="1:8" ht="18.75" x14ac:dyDescent="0.25">
      <c r="A7" s="135">
        <v>1</v>
      </c>
      <c r="B7" s="136" t="s">
        <v>217</v>
      </c>
      <c r="C7" s="139">
        <v>3</v>
      </c>
      <c r="D7" s="138" t="s">
        <v>215</v>
      </c>
      <c r="E7" s="137">
        <v>3</v>
      </c>
      <c r="F7" s="138" t="s">
        <v>215</v>
      </c>
      <c r="G7" s="137">
        <v>3</v>
      </c>
      <c r="H7" s="138" t="s">
        <v>215</v>
      </c>
    </row>
    <row r="8" spans="1:8" ht="18.75" x14ac:dyDescent="0.25">
      <c r="A8" s="135">
        <v>2</v>
      </c>
      <c r="B8" s="136" t="s">
        <v>137</v>
      </c>
      <c r="C8" s="139">
        <v>3</v>
      </c>
      <c r="D8" s="138" t="s">
        <v>215</v>
      </c>
      <c r="E8" s="137">
        <v>3</v>
      </c>
      <c r="F8" s="138" t="s">
        <v>215</v>
      </c>
      <c r="G8" s="137">
        <v>3</v>
      </c>
      <c r="H8" s="138" t="s">
        <v>215</v>
      </c>
    </row>
    <row r="9" spans="1:8" ht="18.75" x14ac:dyDescent="0.25">
      <c r="A9" s="135">
        <v>3</v>
      </c>
      <c r="B9" s="136" t="s">
        <v>138</v>
      </c>
      <c r="C9" s="139">
        <v>6</v>
      </c>
      <c r="D9" s="138" t="s">
        <v>215</v>
      </c>
      <c r="E9" s="137">
        <v>6</v>
      </c>
      <c r="F9" s="138" t="s">
        <v>215</v>
      </c>
      <c r="G9" s="137">
        <v>6</v>
      </c>
      <c r="H9" s="138" t="s">
        <v>215</v>
      </c>
    </row>
    <row r="10" spans="1:8" ht="18.75" x14ac:dyDescent="0.25">
      <c r="A10" s="135">
        <v>4</v>
      </c>
      <c r="B10" s="136" t="s">
        <v>24</v>
      </c>
      <c r="C10" s="139">
        <v>4</v>
      </c>
      <c r="D10" s="138" t="s">
        <v>215</v>
      </c>
      <c r="E10" s="137">
        <v>4</v>
      </c>
      <c r="F10" s="138" t="s">
        <v>215</v>
      </c>
      <c r="G10" s="137">
        <v>4</v>
      </c>
      <c r="H10" s="138" t="s">
        <v>215</v>
      </c>
    </row>
    <row r="11" spans="1:8" ht="18.75" x14ac:dyDescent="0.25">
      <c r="A11" s="135">
        <v>5</v>
      </c>
      <c r="B11" s="136" t="s">
        <v>37</v>
      </c>
      <c r="C11" s="139">
        <v>5</v>
      </c>
      <c r="D11" s="138" t="s">
        <v>215</v>
      </c>
      <c r="E11" s="137">
        <v>5</v>
      </c>
      <c r="F11" s="138" t="s">
        <v>215</v>
      </c>
      <c r="G11" s="137">
        <v>5</v>
      </c>
      <c r="H11" s="138" t="s">
        <v>215</v>
      </c>
    </row>
    <row r="12" spans="1:8" ht="18.75" x14ac:dyDescent="0.25">
      <c r="A12" s="135">
        <v>6</v>
      </c>
      <c r="B12" s="136" t="s">
        <v>26</v>
      </c>
      <c r="C12" s="139">
        <v>5</v>
      </c>
      <c r="D12" s="138" t="s">
        <v>215</v>
      </c>
      <c r="E12" s="137">
        <v>5</v>
      </c>
      <c r="F12" s="138" t="s">
        <v>215</v>
      </c>
      <c r="G12" s="137">
        <v>5</v>
      </c>
      <c r="H12" s="138" t="s">
        <v>215</v>
      </c>
    </row>
    <row r="13" spans="1:8" ht="18.75" x14ac:dyDescent="0.25">
      <c r="A13" s="135">
        <v>7</v>
      </c>
      <c r="B13" s="136" t="s">
        <v>29</v>
      </c>
      <c r="C13" s="139">
        <v>4</v>
      </c>
      <c r="D13" s="138" t="s">
        <v>215</v>
      </c>
      <c r="E13" s="137">
        <v>4</v>
      </c>
      <c r="F13" s="138" t="s">
        <v>215</v>
      </c>
      <c r="G13" s="137">
        <v>4</v>
      </c>
      <c r="H13" s="138" t="s">
        <v>215</v>
      </c>
    </row>
    <row r="14" spans="1:8" ht="18.75" x14ac:dyDescent="0.25">
      <c r="A14" s="135">
        <v>8</v>
      </c>
      <c r="B14" s="181" t="s">
        <v>43</v>
      </c>
      <c r="C14" s="139">
        <v>0</v>
      </c>
      <c r="D14" s="138" t="s">
        <v>215</v>
      </c>
      <c r="E14" s="137">
        <v>3</v>
      </c>
      <c r="F14" s="138" t="s">
        <v>215</v>
      </c>
      <c r="G14" s="137">
        <v>3</v>
      </c>
      <c r="H14" s="138" t="s">
        <v>215</v>
      </c>
    </row>
    <row r="15" spans="1:8" ht="18.75" x14ac:dyDescent="0.25">
      <c r="A15" s="135">
        <v>9</v>
      </c>
      <c r="B15" s="181" t="s">
        <v>139</v>
      </c>
      <c r="C15" s="139">
        <v>3</v>
      </c>
      <c r="D15" s="138" t="s">
        <v>215</v>
      </c>
      <c r="E15" s="139">
        <v>3</v>
      </c>
      <c r="F15" s="138" t="s">
        <v>215</v>
      </c>
      <c r="G15" s="139">
        <v>3</v>
      </c>
      <c r="H15" s="138" t="s">
        <v>215</v>
      </c>
    </row>
    <row r="16" spans="1:8" ht="18.75" x14ac:dyDescent="0.25">
      <c r="A16" s="135">
        <v>10</v>
      </c>
      <c r="B16" s="182" t="s">
        <v>446</v>
      </c>
      <c r="C16" s="139">
        <v>2</v>
      </c>
      <c r="D16" s="138" t="s">
        <v>215</v>
      </c>
      <c r="E16" s="137">
        <v>2</v>
      </c>
      <c r="F16" s="138" t="s">
        <v>215</v>
      </c>
      <c r="G16" s="137">
        <v>2</v>
      </c>
      <c r="H16" s="138" t="s">
        <v>215</v>
      </c>
    </row>
    <row r="17" spans="1:8" ht="18.75" x14ac:dyDescent="0.25">
      <c r="A17" s="135">
        <v>11</v>
      </c>
      <c r="B17" s="182" t="s">
        <v>482</v>
      </c>
      <c r="C17" s="139">
        <v>3</v>
      </c>
      <c r="D17" s="368" t="s">
        <v>215</v>
      </c>
      <c r="E17" s="172">
        <v>2</v>
      </c>
      <c r="F17" s="173" t="s">
        <v>215</v>
      </c>
      <c r="G17" s="172">
        <v>2</v>
      </c>
      <c r="H17" s="173" t="s">
        <v>215</v>
      </c>
    </row>
    <row r="18" spans="1:8" ht="18.75" x14ac:dyDescent="0.25">
      <c r="A18" s="141">
        <v>12</v>
      </c>
      <c r="B18" s="181" t="s">
        <v>31</v>
      </c>
      <c r="C18" s="139">
        <v>2</v>
      </c>
      <c r="D18" s="138" t="s">
        <v>215</v>
      </c>
      <c r="E18" s="137">
        <v>2</v>
      </c>
      <c r="F18" s="138" t="s">
        <v>215</v>
      </c>
      <c r="G18" s="137">
        <v>2</v>
      </c>
      <c r="H18" s="138" t="s">
        <v>215</v>
      </c>
    </row>
    <row r="19" spans="1:8" ht="18.75" x14ac:dyDescent="0.25">
      <c r="A19" s="141">
        <v>13</v>
      </c>
      <c r="B19" s="182" t="s">
        <v>173</v>
      </c>
      <c r="C19" s="180">
        <v>1</v>
      </c>
      <c r="D19" s="143" t="s">
        <v>215</v>
      </c>
      <c r="E19" s="142">
        <v>1</v>
      </c>
      <c r="F19" s="143" t="s">
        <v>215</v>
      </c>
      <c r="G19" s="142">
        <v>1</v>
      </c>
      <c r="H19" s="143" t="s">
        <v>215</v>
      </c>
    </row>
    <row r="20" spans="1:8" ht="19.5" thickBot="1" x14ac:dyDescent="0.3">
      <c r="A20" s="171">
        <v>14</v>
      </c>
      <c r="B20" s="178" t="s">
        <v>236</v>
      </c>
      <c r="C20" s="174">
        <v>0</v>
      </c>
      <c r="D20" s="175" t="s">
        <v>215</v>
      </c>
      <c r="E20" s="176">
        <v>0</v>
      </c>
      <c r="F20" s="177" t="s">
        <v>215</v>
      </c>
      <c r="G20" s="176">
        <v>0</v>
      </c>
      <c r="H20" s="177" t="s">
        <v>215</v>
      </c>
    </row>
    <row r="21" spans="1:8" ht="18.75" x14ac:dyDescent="0.25">
      <c r="A21" s="511" t="s">
        <v>141</v>
      </c>
      <c r="B21" s="512"/>
      <c r="C21" s="144">
        <f>SUM(C7:C20)</f>
        <v>41</v>
      </c>
      <c r="D21" s="145" t="s">
        <v>215</v>
      </c>
      <c r="E21" s="146">
        <f>SUM(E7:E20)</f>
        <v>43</v>
      </c>
      <c r="F21" s="146" t="s">
        <v>215</v>
      </c>
      <c r="G21" s="146">
        <f>SUM(G7:G20)</f>
        <v>43</v>
      </c>
      <c r="H21" s="146" t="s">
        <v>215</v>
      </c>
    </row>
    <row r="23" spans="1:8" x14ac:dyDescent="0.25">
      <c r="E23" t="s">
        <v>417</v>
      </c>
    </row>
    <row r="24" spans="1:8" x14ac:dyDescent="0.25">
      <c r="E24" t="s">
        <v>82</v>
      </c>
    </row>
    <row r="27" spans="1:8" x14ac:dyDescent="0.25">
      <c r="E27" s="236" t="s">
        <v>285</v>
      </c>
    </row>
    <row r="28" spans="1:8" x14ac:dyDescent="0.25">
      <c r="E28" s="236" t="s">
        <v>277</v>
      </c>
    </row>
  </sheetData>
  <mergeCells count="10">
    <mergeCell ref="G6:H6"/>
    <mergeCell ref="A21:B21"/>
    <mergeCell ref="A1:H1"/>
    <mergeCell ref="A2:H2"/>
    <mergeCell ref="A3:H3"/>
    <mergeCell ref="A5:A6"/>
    <mergeCell ref="B5:B6"/>
    <mergeCell ref="C5:H5"/>
    <mergeCell ref="C6:D6"/>
    <mergeCell ref="E6:F6"/>
  </mergeCells>
  <pageMargins left="1.05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4" workbookViewId="0">
      <selection activeCell="M63" sqref="M63:M65"/>
    </sheetView>
  </sheetViews>
  <sheetFormatPr defaultRowHeight="21.95" customHeight="1" x14ac:dyDescent="0.25"/>
  <cols>
    <col min="1" max="1" width="3.7109375" customWidth="1"/>
    <col min="2" max="2" width="23.28515625" customWidth="1"/>
    <col min="3" max="3" width="16" customWidth="1"/>
    <col min="4" max="5" width="6" customWidth="1"/>
    <col min="6" max="6" width="5.85546875" customWidth="1"/>
    <col min="7" max="7" width="6.5703125" customWidth="1"/>
    <col min="8" max="8" width="5.85546875" customWidth="1"/>
    <col min="9" max="9" width="13.140625" customWidth="1"/>
    <col min="10" max="10" width="6.42578125" customWidth="1"/>
    <col min="11" max="11" width="15" customWidth="1"/>
    <col min="12" max="12" width="16.7109375" customWidth="1"/>
    <col min="13" max="13" width="20.28515625" customWidth="1"/>
  </cols>
  <sheetData>
    <row r="1" spans="1:13" ht="21.95" customHeight="1" x14ac:dyDescent="0.25">
      <c r="A1" s="486" t="s">
        <v>291</v>
      </c>
      <c r="B1" s="486"/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</row>
    <row r="2" spans="1:13" ht="21.95" customHeight="1" x14ac:dyDescent="0.3">
      <c r="A2" s="532" t="s">
        <v>274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</row>
    <row r="3" spans="1:13" ht="21.95" customHeight="1" x14ac:dyDescent="0.25">
      <c r="A3" s="486" t="s">
        <v>311</v>
      </c>
      <c r="B3" s="486"/>
      <c r="C3" s="486"/>
      <c r="D3" s="486"/>
      <c r="E3" s="486"/>
      <c r="F3" s="486"/>
      <c r="G3" s="486"/>
      <c r="H3" s="486"/>
      <c r="I3" s="486"/>
      <c r="J3" s="486"/>
      <c r="K3" s="486"/>
      <c r="L3" s="486"/>
      <c r="M3" s="486"/>
    </row>
    <row r="4" spans="1:13" ht="21.95" customHeight="1" x14ac:dyDescent="0.25">
      <c r="A4" s="486" t="s">
        <v>316</v>
      </c>
      <c r="B4" s="486"/>
      <c r="C4" s="486"/>
      <c r="D4" s="486"/>
      <c r="E4" s="486"/>
      <c r="F4" s="486"/>
      <c r="G4" s="486"/>
      <c r="H4" s="486"/>
      <c r="I4" s="486"/>
      <c r="J4" s="486"/>
      <c r="K4" s="486"/>
      <c r="L4" s="486"/>
      <c r="M4" s="486"/>
    </row>
    <row r="5" spans="1:13" ht="15" customHeight="1" x14ac:dyDescent="0.25">
      <c r="A5" s="200"/>
    </row>
    <row r="6" spans="1:13" ht="15.95" customHeight="1" x14ac:dyDescent="0.25">
      <c r="A6" s="455" t="s">
        <v>1</v>
      </c>
      <c r="B6" s="455" t="s">
        <v>88</v>
      </c>
      <c r="C6" s="455" t="s">
        <v>91</v>
      </c>
      <c r="D6" s="455" t="s">
        <v>92</v>
      </c>
      <c r="E6" s="455"/>
      <c r="F6" s="455"/>
      <c r="G6" s="451" t="s">
        <v>93</v>
      </c>
      <c r="H6" s="451" t="s">
        <v>281</v>
      </c>
      <c r="I6" s="451" t="s">
        <v>318</v>
      </c>
      <c r="J6" s="451" t="s">
        <v>282</v>
      </c>
      <c r="K6" s="451" t="s">
        <v>317</v>
      </c>
      <c r="L6" s="451" t="s">
        <v>141</v>
      </c>
      <c r="M6" s="502" t="s">
        <v>278</v>
      </c>
    </row>
    <row r="7" spans="1:13" ht="15.95" customHeight="1" x14ac:dyDescent="0.25">
      <c r="A7" s="455"/>
      <c r="B7" s="455"/>
      <c r="C7" s="455"/>
      <c r="D7" s="455"/>
      <c r="E7" s="455"/>
      <c r="F7" s="455"/>
      <c r="G7" s="459"/>
      <c r="H7" s="459"/>
      <c r="I7" s="459"/>
      <c r="J7" s="459"/>
      <c r="K7" s="459"/>
      <c r="L7" s="459"/>
      <c r="M7" s="533"/>
    </row>
    <row r="8" spans="1:13" ht="34.5" customHeight="1" x14ac:dyDescent="0.25">
      <c r="A8" s="455"/>
      <c r="B8" s="455"/>
      <c r="C8" s="455"/>
      <c r="D8" s="197">
        <v>7</v>
      </c>
      <c r="E8" s="197">
        <v>8</v>
      </c>
      <c r="F8" s="197">
        <v>9</v>
      </c>
      <c r="G8" s="452"/>
      <c r="H8" s="452"/>
      <c r="I8" s="452"/>
      <c r="J8" s="452"/>
      <c r="K8" s="452"/>
      <c r="L8" s="452"/>
      <c r="M8" s="531"/>
    </row>
    <row r="9" spans="1:13" ht="19.5" customHeight="1" x14ac:dyDescent="0.25">
      <c r="A9" s="451">
        <v>1</v>
      </c>
      <c r="B9" s="247" t="s">
        <v>99</v>
      </c>
      <c r="C9" s="247" t="s">
        <v>257</v>
      </c>
      <c r="D9" s="250">
        <v>8</v>
      </c>
      <c r="E9" s="250">
        <v>10</v>
      </c>
      <c r="F9" s="250">
        <v>8</v>
      </c>
      <c r="G9" s="451">
        <f>SUM(D9:F10)</f>
        <v>26</v>
      </c>
      <c r="H9" s="451">
        <v>2</v>
      </c>
      <c r="I9" s="525">
        <f>H9*24000*1</f>
        <v>48000</v>
      </c>
      <c r="J9" s="451">
        <v>0</v>
      </c>
      <c r="K9" s="522">
        <f>J9*120000*1</f>
        <v>0</v>
      </c>
      <c r="L9" s="522">
        <f>I9+K9</f>
        <v>48000</v>
      </c>
      <c r="M9" s="453">
        <v>1</v>
      </c>
    </row>
    <row r="10" spans="1:13" ht="18.75" customHeight="1" x14ac:dyDescent="0.25">
      <c r="A10" s="452"/>
      <c r="B10" s="285" t="s">
        <v>100</v>
      </c>
      <c r="C10" s="251"/>
      <c r="D10" s="251"/>
      <c r="E10" s="251"/>
      <c r="F10" s="251"/>
      <c r="G10" s="452"/>
      <c r="H10" s="452"/>
      <c r="I10" s="526"/>
      <c r="J10" s="452"/>
      <c r="K10" s="523"/>
      <c r="L10" s="523"/>
      <c r="M10" s="454"/>
    </row>
    <row r="11" spans="1:13" ht="15.95" customHeight="1" x14ac:dyDescent="0.25">
      <c r="A11" s="455">
        <v>2</v>
      </c>
      <c r="B11" s="198" t="s">
        <v>266</v>
      </c>
      <c r="C11" s="198" t="s">
        <v>120</v>
      </c>
      <c r="D11" s="25"/>
      <c r="E11" s="25">
        <v>6</v>
      </c>
      <c r="F11" s="25">
        <v>8</v>
      </c>
      <c r="G11" s="451">
        <f>SUM(D11:F12)</f>
        <v>26</v>
      </c>
      <c r="H11" s="451">
        <v>2</v>
      </c>
      <c r="I11" s="525">
        <f t="shared" ref="I11" si="0">H11*24000*1</f>
        <v>48000</v>
      </c>
      <c r="J11" s="528">
        <v>0</v>
      </c>
      <c r="K11" s="522">
        <f t="shared" ref="K11" si="1">J11*120000*1</f>
        <v>0</v>
      </c>
      <c r="L11" s="522">
        <f>I11+K11</f>
        <v>48000</v>
      </c>
      <c r="M11" s="502">
        <v>2</v>
      </c>
    </row>
    <row r="12" spans="1:13" ht="15.95" customHeight="1" x14ac:dyDescent="0.25">
      <c r="A12" s="455"/>
      <c r="B12" s="162" t="s">
        <v>267</v>
      </c>
      <c r="C12" s="201" t="s">
        <v>175</v>
      </c>
      <c r="D12" s="527">
        <v>12</v>
      </c>
      <c r="E12" s="527"/>
      <c r="F12" s="527"/>
      <c r="G12" s="452"/>
      <c r="H12" s="452"/>
      <c r="I12" s="526"/>
      <c r="J12" s="530"/>
      <c r="K12" s="523"/>
      <c r="L12" s="523"/>
      <c r="M12" s="531"/>
    </row>
    <row r="13" spans="1:13" ht="15.95" customHeight="1" x14ac:dyDescent="0.25">
      <c r="A13" s="455">
        <v>3</v>
      </c>
      <c r="B13" s="198" t="s">
        <v>254</v>
      </c>
      <c r="C13" s="198" t="s">
        <v>37</v>
      </c>
      <c r="D13" s="25">
        <v>5</v>
      </c>
      <c r="E13" s="25">
        <v>25</v>
      </c>
      <c r="F13" s="25"/>
      <c r="G13" s="451">
        <f>SUM(D13:F14)</f>
        <v>30</v>
      </c>
      <c r="H13" s="451">
        <v>6</v>
      </c>
      <c r="I13" s="525">
        <f t="shared" ref="I13" si="2">H13*24000*1</f>
        <v>144000</v>
      </c>
      <c r="J13" s="528">
        <v>0</v>
      </c>
      <c r="K13" s="522">
        <f t="shared" ref="K13" si="3">J13*120000*1</f>
        <v>0</v>
      </c>
      <c r="L13" s="522">
        <f>I13+K13</f>
        <v>144000</v>
      </c>
      <c r="M13" s="453">
        <v>3</v>
      </c>
    </row>
    <row r="14" spans="1:13" ht="15.95" customHeight="1" x14ac:dyDescent="0.25">
      <c r="A14" s="455"/>
      <c r="B14" s="199" t="s">
        <v>103</v>
      </c>
      <c r="C14" s="199"/>
      <c r="D14" s="26"/>
      <c r="E14" s="26"/>
      <c r="F14" s="26"/>
      <c r="G14" s="452"/>
      <c r="H14" s="452"/>
      <c r="I14" s="526"/>
      <c r="J14" s="530"/>
      <c r="K14" s="523"/>
      <c r="L14" s="523"/>
      <c r="M14" s="454"/>
    </row>
    <row r="15" spans="1:13" ht="15.95" customHeight="1" x14ac:dyDescent="0.25">
      <c r="A15" s="455">
        <v>4</v>
      </c>
      <c r="B15" s="198" t="s">
        <v>178</v>
      </c>
      <c r="C15" s="198" t="s">
        <v>37</v>
      </c>
      <c r="D15" s="25">
        <v>10</v>
      </c>
      <c r="E15" s="25"/>
      <c r="F15" s="25">
        <v>20</v>
      </c>
      <c r="G15" s="451">
        <f>SUM(D15:F16)</f>
        <v>30</v>
      </c>
      <c r="H15" s="451">
        <v>6</v>
      </c>
      <c r="I15" s="525">
        <f t="shared" ref="I15" si="4">H15*24000*1</f>
        <v>144000</v>
      </c>
      <c r="J15" s="528">
        <v>0</v>
      </c>
      <c r="K15" s="522">
        <f t="shared" ref="K15" si="5">J15*120000*1</f>
        <v>0</v>
      </c>
      <c r="L15" s="522">
        <f>I15+K15</f>
        <v>144000</v>
      </c>
      <c r="M15" s="502">
        <v>4</v>
      </c>
    </row>
    <row r="16" spans="1:13" ht="15.95" customHeight="1" x14ac:dyDescent="0.25">
      <c r="A16" s="451"/>
      <c r="B16" s="199" t="s">
        <v>227</v>
      </c>
      <c r="C16" s="199"/>
      <c r="D16" s="26"/>
      <c r="E16" s="26"/>
      <c r="F16" s="26"/>
      <c r="G16" s="452"/>
      <c r="H16" s="452"/>
      <c r="I16" s="526"/>
      <c r="J16" s="530"/>
      <c r="K16" s="523"/>
      <c r="L16" s="523"/>
      <c r="M16" s="531"/>
    </row>
    <row r="17" spans="1:13" ht="15.95" customHeight="1" x14ac:dyDescent="0.25">
      <c r="A17" s="455">
        <v>5</v>
      </c>
      <c r="B17" s="198" t="s">
        <v>118</v>
      </c>
      <c r="C17" s="198" t="s">
        <v>26</v>
      </c>
      <c r="D17" s="25"/>
      <c r="E17" s="25">
        <v>20</v>
      </c>
      <c r="F17" s="25"/>
      <c r="G17" s="451">
        <f>SUM(D17:F18)</f>
        <v>32</v>
      </c>
      <c r="H17" s="451">
        <v>6</v>
      </c>
      <c r="I17" s="525">
        <f t="shared" ref="I17" si="6">H17*24000*1</f>
        <v>144000</v>
      </c>
      <c r="J17" s="528">
        <v>2</v>
      </c>
      <c r="K17" s="522">
        <f>J17*120000*1</f>
        <v>240000</v>
      </c>
      <c r="L17" s="522">
        <f>I17+K17</f>
        <v>384000</v>
      </c>
      <c r="M17" s="453">
        <v>5</v>
      </c>
    </row>
    <row r="18" spans="1:13" ht="15.95" customHeight="1" x14ac:dyDescent="0.25">
      <c r="A18" s="455"/>
      <c r="B18" s="199" t="s">
        <v>119</v>
      </c>
      <c r="C18" s="201" t="s">
        <v>275</v>
      </c>
      <c r="D18" s="527">
        <v>12</v>
      </c>
      <c r="E18" s="527"/>
      <c r="F18" s="527"/>
      <c r="G18" s="452"/>
      <c r="H18" s="452"/>
      <c r="I18" s="526"/>
      <c r="J18" s="530"/>
      <c r="K18" s="523"/>
      <c r="L18" s="523"/>
      <c r="M18" s="454"/>
    </row>
    <row r="19" spans="1:13" ht="15.95" customHeight="1" x14ac:dyDescent="0.25">
      <c r="A19" s="455">
        <v>6</v>
      </c>
      <c r="B19" s="248" t="s">
        <v>180</v>
      </c>
      <c r="C19" s="248" t="s">
        <v>26</v>
      </c>
      <c r="D19" s="25">
        <v>5</v>
      </c>
      <c r="E19" s="25">
        <v>10</v>
      </c>
      <c r="F19" s="25">
        <v>10</v>
      </c>
      <c r="G19" s="250">
        <f>SUM(D19:F20)</f>
        <v>25</v>
      </c>
      <c r="H19" s="250">
        <v>1</v>
      </c>
      <c r="I19" s="525">
        <f t="shared" ref="I19" si="7">H19*24000*1</f>
        <v>24000</v>
      </c>
      <c r="J19" s="252">
        <v>0</v>
      </c>
      <c r="K19" s="254">
        <f t="shared" ref="K19" si="8">J19*20000*1</f>
        <v>0</v>
      </c>
      <c r="L19" s="254">
        <f>I19+K19</f>
        <v>24000</v>
      </c>
      <c r="M19" s="502">
        <v>6</v>
      </c>
    </row>
    <row r="20" spans="1:13" ht="15.95" customHeight="1" x14ac:dyDescent="0.25">
      <c r="A20" s="451"/>
      <c r="B20" s="249" t="s">
        <v>123</v>
      </c>
      <c r="C20" s="249"/>
      <c r="D20" s="26"/>
      <c r="E20" s="26"/>
      <c r="F20" s="26"/>
      <c r="G20" s="251"/>
      <c r="H20" s="251"/>
      <c r="I20" s="526"/>
      <c r="J20" s="253"/>
      <c r="K20" s="255"/>
      <c r="L20" s="255"/>
      <c r="M20" s="531"/>
    </row>
    <row r="21" spans="1:13" ht="15.95" customHeight="1" x14ac:dyDescent="0.25">
      <c r="A21" s="455">
        <v>7</v>
      </c>
      <c r="B21" s="248" t="s">
        <v>219</v>
      </c>
      <c r="C21" s="248" t="s">
        <v>313</v>
      </c>
      <c r="D21" s="25">
        <v>16</v>
      </c>
      <c r="E21" s="25"/>
      <c r="F21" s="25"/>
      <c r="G21" s="451">
        <f>SUM(D21:F22)</f>
        <v>25</v>
      </c>
      <c r="H21" s="451">
        <v>1</v>
      </c>
      <c r="I21" s="525">
        <f t="shared" ref="I21" si="9">H21*24000*1</f>
        <v>24000</v>
      </c>
      <c r="J21" s="528">
        <v>0</v>
      </c>
      <c r="K21" s="522">
        <f t="shared" ref="K21:K23" si="10">J21*20000*1</f>
        <v>0</v>
      </c>
      <c r="L21" s="522">
        <f>I21+K21</f>
        <v>24000</v>
      </c>
      <c r="M21" s="453">
        <v>7</v>
      </c>
    </row>
    <row r="22" spans="1:13" ht="15.95" customHeight="1" x14ac:dyDescent="0.25">
      <c r="A22" s="455"/>
      <c r="B22" s="179" t="s">
        <v>193</v>
      </c>
      <c r="C22" s="179" t="s">
        <v>43</v>
      </c>
      <c r="D22" s="27"/>
      <c r="E22" s="27"/>
      <c r="F22" s="27">
        <v>9</v>
      </c>
      <c r="G22" s="459"/>
      <c r="H22" s="459"/>
      <c r="I22" s="526"/>
      <c r="J22" s="529"/>
      <c r="K22" s="523"/>
      <c r="L22" s="524"/>
      <c r="M22" s="454"/>
    </row>
    <row r="23" spans="1:13" ht="15.95" customHeight="1" x14ac:dyDescent="0.25">
      <c r="A23" s="455">
        <v>8</v>
      </c>
      <c r="B23" s="248" t="s">
        <v>261</v>
      </c>
      <c r="C23" s="248" t="s">
        <v>29</v>
      </c>
      <c r="D23" s="25">
        <v>16</v>
      </c>
      <c r="E23" s="25">
        <v>12</v>
      </c>
      <c r="F23" s="25"/>
      <c r="G23" s="451">
        <f>SUM(D23:F24)</f>
        <v>28</v>
      </c>
      <c r="H23" s="451">
        <v>4</v>
      </c>
      <c r="I23" s="525">
        <f t="shared" ref="I23" si="11">H23*24000*1</f>
        <v>96000</v>
      </c>
      <c r="J23" s="528">
        <v>0</v>
      </c>
      <c r="K23" s="522">
        <f t="shared" si="10"/>
        <v>0</v>
      </c>
      <c r="L23" s="522">
        <f>I23+K23</f>
        <v>96000</v>
      </c>
      <c r="M23" s="502">
        <v>8</v>
      </c>
    </row>
    <row r="24" spans="1:13" ht="15.95" customHeight="1" thickBot="1" x14ac:dyDescent="0.3">
      <c r="A24" s="451"/>
      <c r="B24" s="179" t="s">
        <v>264</v>
      </c>
      <c r="C24" s="179"/>
      <c r="D24" s="27"/>
      <c r="E24" s="27"/>
      <c r="F24" s="27"/>
      <c r="G24" s="459"/>
      <c r="H24" s="459"/>
      <c r="I24" s="526"/>
      <c r="J24" s="529"/>
      <c r="K24" s="523"/>
      <c r="L24" s="524"/>
      <c r="M24" s="531"/>
    </row>
    <row r="25" spans="1:13" ht="20.25" customHeight="1" x14ac:dyDescent="0.25">
      <c r="A25" s="519" t="s">
        <v>141</v>
      </c>
      <c r="B25" s="520"/>
      <c r="C25" s="520"/>
      <c r="D25" s="520"/>
      <c r="E25" s="520"/>
      <c r="F25" s="520"/>
      <c r="G25" s="521"/>
      <c r="H25" s="237">
        <f>SUM(H11:H24)</f>
        <v>26</v>
      </c>
      <c r="I25" s="238">
        <f>SUM(I11:I24)</f>
        <v>624000</v>
      </c>
      <c r="J25" s="239">
        <f>SUM(J11:J24)</f>
        <v>2</v>
      </c>
      <c r="K25" s="238">
        <f>SUM(K11:K24)</f>
        <v>240000</v>
      </c>
      <c r="L25" s="238">
        <f>SUM(L11:L24)</f>
        <v>864000</v>
      </c>
      <c r="M25" s="240"/>
    </row>
    <row r="26" spans="1:13" ht="14.25" customHeight="1" x14ac:dyDescent="0.25">
      <c r="B26" s="4"/>
      <c r="C26" s="4"/>
      <c r="E26" s="4"/>
      <c r="F26" s="4"/>
      <c r="G26" s="4"/>
      <c r="I26" s="4"/>
      <c r="J26" s="4"/>
      <c r="K26" s="4"/>
      <c r="L26" s="4"/>
    </row>
    <row r="27" spans="1:13" ht="12" customHeight="1" x14ac:dyDescent="0.25">
      <c r="A27" s="5"/>
      <c r="B27" s="4"/>
      <c r="C27" s="4"/>
      <c r="E27" s="4"/>
      <c r="F27" s="4"/>
      <c r="G27" s="4"/>
      <c r="I27" s="4"/>
      <c r="J27" s="4"/>
      <c r="K27" s="4" t="s">
        <v>333</v>
      </c>
    </row>
    <row r="28" spans="1:13" ht="12" customHeight="1" x14ac:dyDescent="0.25">
      <c r="A28" s="5"/>
      <c r="B28" s="4"/>
      <c r="C28" s="4"/>
      <c r="E28" s="4"/>
      <c r="F28" s="4"/>
      <c r="G28" s="4"/>
      <c r="I28" s="4"/>
      <c r="J28" s="4"/>
      <c r="K28" s="36" t="s">
        <v>82</v>
      </c>
    </row>
    <row r="29" spans="1:13" ht="12" customHeight="1" x14ac:dyDescent="0.25">
      <c r="A29" s="4"/>
      <c r="B29" s="4"/>
      <c r="C29" s="4"/>
      <c r="E29" s="4"/>
      <c r="F29" s="4"/>
      <c r="G29" s="4"/>
      <c r="K29" s="4"/>
    </row>
    <row r="30" spans="1:13" ht="9" customHeight="1" x14ac:dyDescent="0.25">
      <c r="K30" s="4"/>
    </row>
    <row r="31" spans="1:13" ht="12" customHeight="1" x14ac:dyDescent="0.25">
      <c r="K31" s="106" t="s">
        <v>276</v>
      </c>
    </row>
    <row r="32" spans="1:13" ht="12" customHeight="1" x14ac:dyDescent="0.25">
      <c r="K32" s="106" t="s">
        <v>277</v>
      </c>
    </row>
    <row r="33" spans="1:13" ht="15.95" customHeight="1" x14ac:dyDescent="0.25"/>
    <row r="34" spans="1:13" ht="15.95" customHeight="1" x14ac:dyDescent="0.25"/>
    <row r="35" spans="1:13" ht="15" customHeight="1" x14ac:dyDescent="0.25">
      <c r="A35" s="486" t="s">
        <v>291</v>
      </c>
      <c r="B35" s="486"/>
      <c r="C35" s="486"/>
      <c r="D35" s="486"/>
      <c r="E35" s="486"/>
      <c r="F35" s="486"/>
      <c r="G35" s="486"/>
      <c r="H35" s="486"/>
      <c r="I35" s="486"/>
      <c r="J35" s="486"/>
      <c r="K35" s="486"/>
      <c r="L35" s="486"/>
      <c r="M35" s="486"/>
    </row>
    <row r="36" spans="1:13" ht="19.5" customHeight="1" x14ac:dyDescent="0.3">
      <c r="A36" s="532" t="s">
        <v>274</v>
      </c>
      <c r="B36" s="532"/>
      <c r="C36" s="532"/>
      <c r="D36" s="532"/>
      <c r="E36" s="532"/>
      <c r="F36" s="532"/>
      <c r="G36" s="532"/>
      <c r="H36" s="532"/>
      <c r="I36" s="532"/>
      <c r="J36" s="532"/>
      <c r="K36" s="532"/>
      <c r="L36" s="532"/>
      <c r="M36" s="532"/>
    </row>
    <row r="37" spans="1:13" ht="15" customHeight="1" x14ac:dyDescent="0.25">
      <c r="A37" s="486" t="s">
        <v>327</v>
      </c>
      <c r="B37" s="486"/>
      <c r="C37" s="486"/>
      <c r="D37" s="486"/>
      <c r="E37" s="486"/>
      <c r="F37" s="486"/>
      <c r="G37" s="486"/>
      <c r="H37" s="486"/>
      <c r="I37" s="486"/>
      <c r="J37" s="486"/>
      <c r="K37" s="486"/>
      <c r="L37" s="486"/>
      <c r="M37" s="486"/>
    </row>
    <row r="38" spans="1:13" ht="15" customHeight="1" x14ac:dyDescent="0.25">
      <c r="A38" s="486" t="s">
        <v>328</v>
      </c>
      <c r="B38" s="486"/>
      <c r="C38" s="486"/>
      <c r="D38" s="486"/>
      <c r="E38" s="486"/>
      <c r="F38" s="486"/>
      <c r="G38" s="486"/>
      <c r="H38" s="486"/>
      <c r="I38" s="486"/>
      <c r="J38" s="486"/>
      <c r="K38" s="486"/>
      <c r="L38" s="486"/>
      <c r="M38" s="486"/>
    </row>
    <row r="39" spans="1:13" ht="4.5" customHeight="1" x14ac:dyDescent="0.25">
      <c r="A39" s="292"/>
    </row>
    <row r="40" spans="1:13" ht="15" customHeight="1" x14ac:dyDescent="0.25">
      <c r="A40" s="455" t="s">
        <v>1</v>
      </c>
      <c r="B40" s="455" t="s">
        <v>88</v>
      </c>
      <c r="C40" s="455" t="s">
        <v>91</v>
      </c>
      <c r="D40" s="455" t="s">
        <v>92</v>
      </c>
      <c r="E40" s="455"/>
      <c r="F40" s="455"/>
      <c r="G40" s="451" t="s">
        <v>93</v>
      </c>
      <c r="H40" s="451" t="s">
        <v>281</v>
      </c>
      <c r="I40" s="451" t="s">
        <v>318</v>
      </c>
      <c r="J40" s="451" t="s">
        <v>282</v>
      </c>
      <c r="K40" s="451" t="s">
        <v>317</v>
      </c>
      <c r="L40" s="451" t="s">
        <v>141</v>
      </c>
      <c r="M40" s="502" t="s">
        <v>278</v>
      </c>
    </row>
    <row r="41" spans="1:13" ht="15" customHeight="1" x14ac:dyDescent="0.25">
      <c r="A41" s="455"/>
      <c r="B41" s="455"/>
      <c r="C41" s="455"/>
      <c r="D41" s="455"/>
      <c r="E41" s="455"/>
      <c r="F41" s="455"/>
      <c r="G41" s="459"/>
      <c r="H41" s="459"/>
      <c r="I41" s="459"/>
      <c r="J41" s="459"/>
      <c r="K41" s="459"/>
      <c r="L41" s="459"/>
      <c r="M41" s="533"/>
    </row>
    <row r="42" spans="1:13" ht="15" customHeight="1" x14ac:dyDescent="0.25">
      <c r="A42" s="455"/>
      <c r="B42" s="455"/>
      <c r="C42" s="455"/>
      <c r="D42" s="291">
        <v>7</v>
      </c>
      <c r="E42" s="291">
        <v>8</v>
      </c>
      <c r="F42" s="291">
        <v>9</v>
      </c>
      <c r="G42" s="452"/>
      <c r="H42" s="452"/>
      <c r="I42" s="452"/>
      <c r="J42" s="452"/>
      <c r="K42" s="452"/>
      <c r="L42" s="452"/>
      <c r="M42" s="531"/>
    </row>
    <row r="43" spans="1:13" ht="15" customHeight="1" x14ac:dyDescent="0.25">
      <c r="A43" s="451">
        <v>1</v>
      </c>
      <c r="B43" s="284" t="s">
        <v>329</v>
      </c>
      <c r="C43" s="284" t="s">
        <v>29</v>
      </c>
      <c r="D43" s="288"/>
      <c r="E43" s="288">
        <v>8</v>
      </c>
      <c r="F43" s="288">
        <v>16</v>
      </c>
      <c r="G43" s="451">
        <f>SUM(D43:F44)</f>
        <v>27</v>
      </c>
      <c r="H43" s="451">
        <v>3</v>
      </c>
      <c r="I43" s="525">
        <f>H43*24000*1</f>
        <v>72000</v>
      </c>
      <c r="J43" s="451">
        <v>0</v>
      </c>
      <c r="K43" s="522">
        <f>J43*120000*1</f>
        <v>0</v>
      </c>
      <c r="L43" s="522">
        <f>I43+K43</f>
        <v>72000</v>
      </c>
      <c r="M43" s="453">
        <v>1</v>
      </c>
    </row>
    <row r="44" spans="1:13" ht="15" customHeight="1" x14ac:dyDescent="0.25">
      <c r="A44" s="452"/>
      <c r="B44" s="287" t="s">
        <v>98</v>
      </c>
      <c r="C44" s="285" t="s">
        <v>326</v>
      </c>
      <c r="D44" s="289"/>
      <c r="E44" s="289"/>
      <c r="F44" s="289">
        <v>3</v>
      </c>
      <c r="G44" s="452"/>
      <c r="H44" s="452"/>
      <c r="I44" s="526"/>
      <c r="J44" s="452"/>
      <c r="K44" s="523"/>
      <c r="L44" s="523"/>
      <c r="M44" s="454"/>
    </row>
    <row r="45" spans="1:13" ht="15" customHeight="1" x14ac:dyDescent="0.25">
      <c r="A45" s="455">
        <v>2</v>
      </c>
      <c r="B45" s="286" t="s">
        <v>266</v>
      </c>
      <c r="C45" s="286" t="s">
        <v>120</v>
      </c>
      <c r="D45" s="25"/>
      <c r="E45" s="25">
        <v>6</v>
      </c>
      <c r="F45" s="25">
        <v>8</v>
      </c>
      <c r="G45" s="451">
        <f>SUM(D45:F46)</f>
        <v>26</v>
      </c>
      <c r="H45" s="451">
        <v>2</v>
      </c>
      <c r="I45" s="525">
        <f t="shared" ref="I45" si="12">H45*24000*1</f>
        <v>48000</v>
      </c>
      <c r="J45" s="528">
        <v>0</v>
      </c>
      <c r="K45" s="522">
        <f t="shared" ref="K45" si="13">J45*120000*1</f>
        <v>0</v>
      </c>
      <c r="L45" s="522">
        <f>I45+K45</f>
        <v>48000</v>
      </c>
      <c r="M45" s="502">
        <v>2</v>
      </c>
    </row>
    <row r="46" spans="1:13" ht="15" customHeight="1" x14ac:dyDescent="0.25">
      <c r="A46" s="455"/>
      <c r="B46" s="162" t="s">
        <v>267</v>
      </c>
      <c r="C46" s="290" t="s">
        <v>175</v>
      </c>
      <c r="D46" s="527">
        <v>12</v>
      </c>
      <c r="E46" s="527"/>
      <c r="F46" s="527"/>
      <c r="G46" s="452"/>
      <c r="H46" s="452"/>
      <c r="I46" s="526"/>
      <c r="J46" s="530"/>
      <c r="K46" s="523"/>
      <c r="L46" s="523"/>
      <c r="M46" s="531"/>
    </row>
    <row r="47" spans="1:13" ht="15" customHeight="1" x14ac:dyDescent="0.25">
      <c r="A47" s="451">
        <v>3</v>
      </c>
      <c r="B47" s="286" t="s">
        <v>314</v>
      </c>
      <c r="C47" s="286" t="s">
        <v>330</v>
      </c>
      <c r="D47" s="25">
        <v>16</v>
      </c>
      <c r="E47" s="25"/>
      <c r="F47" s="25"/>
      <c r="G47" s="451">
        <f>SUM(D47:F48)</f>
        <v>28</v>
      </c>
      <c r="H47" s="451">
        <v>4</v>
      </c>
      <c r="I47" s="525">
        <f t="shared" ref="I47" si="14">H47*24000*1</f>
        <v>96000</v>
      </c>
      <c r="J47" s="528">
        <v>0</v>
      </c>
      <c r="K47" s="522">
        <f t="shared" ref="K47" si="15">J47*120000*1</f>
        <v>0</v>
      </c>
      <c r="L47" s="522">
        <f>I47+K47</f>
        <v>96000</v>
      </c>
      <c r="M47" s="453">
        <v>3</v>
      </c>
    </row>
    <row r="48" spans="1:13" ht="15" customHeight="1" x14ac:dyDescent="0.25">
      <c r="A48" s="452"/>
      <c r="B48" s="287" t="s">
        <v>253</v>
      </c>
      <c r="C48" s="290" t="s">
        <v>175</v>
      </c>
      <c r="D48" s="527">
        <v>12</v>
      </c>
      <c r="E48" s="527"/>
      <c r="F48" s="527"/>
      <c r="G48" s="452"/>
      <c r="H48" s="452"/>
      <c r="I48" s="526"/>
      <c r="J48" s="530"/>
      <c r="K48" s="523"/>
      <c r="L48" s="523"/>
      <c r="M48" s="454"/>
    </row>
    <row r="49" spans="1:13" ht="15" customHeight="1" x14ac:dyDescent="0.25">
      <c r="A49" s="455">
        <v>4</v>
      </c>
      <c r="B49" s="286" t="s">
        <v>254</v>
      </c>
      <c r="C49" s="286" t="s">
        <v>37</v>
      </c>
      <c r="D49" s="25"/>
      <c r="E49" s="25">
        <v>25</v>
      </c>
      <c r="F49" s="25"/>
      <c r="G49" s="451">
        <f>SUM(D49:F50)</f>
        <v>25</v>
      </c>
      <c r="H49" s="451">
        <v>1</v>
      </c>
      <c r="I49" s="525">
        <f t="shared" ref="I49" si="16">H49*24000*1</f>
        <v>24000</v>
      </c>
      <c r="J49" s="528">
        <v>0</v>
      </c>
      <c r="K49" s="522">
        <f t="shared" ref="K49" si="17">J49*120000*1</f>
        <v>0</v>
      </c>
      <c r="L49" s="522">
        <f>I49+K49</f>
        <v>24000</v>
      </c>
      <c r="M49" s="502">
        <v>4</v>
      </c>
    </row>
    <row r="50" spans="1:13" ht="15" customHeight="1" x14ac:dyDescent="0.25">
      <c r="A50" s="455"/>
      <c r="B50" s="287" t="s">
        <v>103</v>
      </c>
      <c r="C50" s="287"/>
      <c r="D50" s="26"/>
      <c r="E50" s="26"/>
      <c r="F50" s="26"/>
      <c r="G50" s="452"/>
      <c r="H50" s="452"/>
      <c r="I50" s="526"/>
      <c r="J50" s="530"/>
      <c r="K50" s="523"/>
      <c r="L50" s="523"/>
      <c r="M50" s="531"/>
    </row>
    <row r="51" spans="1:13" ht="15" customHeight="1" x14ac:dyDescent="0.25">
      <c r="A51" s="455">
        <v>5</v>
      </c>
      <c r="B51" s="286" t="s">
        <v>178</v>
      </c>
      <c r="C51" s="286" t="s">
        <v>37</v>
      </c>
      <c r="D51" s="25">
        <v>5</v>
      </c>
      <c r="E51" s="25"/>
      <c r="F51" s="25">
        <v>20</v>
      </c>
      <c r="G51" s="451">
        <f>SUM(D51:F52)</f>
        <v>25</v>
      </c>
      <c r="H51" s="451">
        <v>1</v>
      </c>
      <c r="I51" s="525">
        <f t="shared" ref="I51" si="18">H51*24000*1</f>
        <v>24000</v>
      </c>
      <c r="J51" s="528">
        <v>0</v>
      </c>
      <c r="K51" s="522">
        <f t="shared" ref="K51" si="19">J51*120000*1</f>
        <v>0</v>
      </c>
      <c r="L51" s="522">
        <f>I51+K51</f>
        <v>24000</v>
      </c>
      <c r="M51" s="453">
        <v>5</v>
      </c>
    </row>
    <row r="52" spans="1:13" ht="15" customHeight="1" x14ac:dyDescent="0.25">
      <c r="A52" s="451"/>
      <c r="B52" s="287" t="s">
        <v>227</v>
      </c>
      <c r="C52" s="287"/>
      <c r="D52" s="26"/>
      <c r="E52" s="26"/>
      <c r="F52" s="26"/>
      <c r="G52" s="452"/>
      <c r="H52" s="452"/>
      <c r="I52" s="526"/>
      <c r="J52" s="530"/>
      <c r="K52" s="523"/>
      <c r="L52" s="523"/>
      <c r="M52" s="454"/>
    </row>
    <row r="53" spans="1:13" ht="15" customHeight="1" x14ac:dyDescent="0.25">
      <c r="A53" s="455">
        <v>6</v>
      </c>
      <c r="B53" s="286" t="s">
        <v>118</v>
      </c>
      <c r="C53" s="286" t="s">
        <v>26</v>
      </c>
      <c r="D53" s="25"/>
      <c r="E53" s="25">
        <v>20</v>
      </c>
      <c r="F53" s="25"/>
      <c r="G53" s="451">
        <f>SUM(D53:F54)</f>
        <v>32</v>
      </c>
      <c r="H53" s="451">
        <v>6</v>
      </c>
      <c r="I53" s="525">
        <f t="shared" ref="I53" si="20">H53*24000*1</f>
        <v>144000</v>
      </c>
      <c r="J53" s="528">
        <v>2</v>
      </c>
      <c r="K53" s="522">
        <f>J53*120000*1</f>
        <v>240000</v>
      </c>
      <c r="L53" s="522">
        <f>I53+K53</f>
        <v>384000</v>
      </c>
      <c r="M53" s="502">
        <v>6</v>
      </c>
    </row>
    <row r="54" spans="1:13" ht="15" customHeight="1" x14ac:dyDescent="0.25">
      <c r="A54" s="455"/>
      <c r="B54" s="287" t="s">
        <v>119</v>
      </c>
      <c r="C54" s="290" t="s">
        <v>275</v>
      </c>
      <c r="D54" s="527">
        <v>12</v>
      </c>
      <c r="E54" s="527"/>
      <c r="F54" s="527"/>
      <c r="G54" s="452"/>
      <c r="H54" s="452"/>
      <c r="I54" s="526"/>
      <c r="J54" s="530"/>
      <c r="K54" s="523"/>
      <c r="L54" s="523"/>
      <c r="M54" s="531"/>
    </row>
    <row r="55" spans="1:13" ht="15" customHeight="1" x14ac:dyDescent="0.25">
      <c r="A55" s="451">
        <v>7</v>
      </c>
      <c r="B55" s="286" t="s">
        <v>331</v>
      </c>
      <c r="C55" s="286" t="s">
        <v>326</v>
      </c>
      <c r="D55" s="25">
        <v>12</v>
      </c>
      <c r="E55" s="25">
        <v>15</v>
      </c>
      <c r="F55" s="25">
        <v>3</v>
      </c>
      <c r="G55" s="288">
        <f>SUM(D55:F56)</f>
        <v>30</v>
      </c>
      <c r="H55" s="451">
        <v>6</v>
      </c>
      <c r="I55" s="525">
        <f t="shared" ref="I55" si="21">H55*24000*1</f>
        <v>144000</v>
      </c>
      <c r="J55" s="293">
        <v>0</v>
      </c>
      <c r="K55" s="295">
        <f t="shared" ref="K55" si="22">J55*20000*1</f>
        <v>0</v>
      </c>
      <c r="L55" s="295">
        <f>I55+K55</f>
        <v>144000</v>
      </c>
      <c r="M55" s="453">
        <v>7</v>
      </c>
    </row>
    <row r="56" spans="1:13" ht="15" customHeight="1" x14ac:dyDescent="0.25">
      <c r="A56" s="452"/>
      <c r="B56" s="287" t="s">
        <v>112</v>
      </c>
      <c r="C56" s="287"/>
      <c r="D56" s="26"/>
      <c r="E56" s="26"/>
      <c r="F56" s="26"/>
      <c r="G56" s="289"/>
      <c r="H56" s="452"/>
      <c r="I56" s="526"/>
      <c r="J56" s="294"/>
      <c r="K56" s="296"/>
      <c r="L56" s="296"/>
      <c r="M56" s="454"/>
    </row>
    <row r="57" spans="1:13" ht="15" customHeight="1" x14ac:dyDescent="0.25">
      <c r="A57" s="455">
        <v>8</v>
      </c>
      <c r="B57" s="286" t="s">
        <v>180</v>
      </c>
      <c r="C57" s="286" t="s">
        <v>26</v>
      </c>
      <c r="D57" s="25">
        <v>5</v>
      </c>
      <c r="E57" s="25">
        <v>10</v>
      </c>
      <c r="F57" s="25">
        <v>10</v>
      </c>
      <c r="G57" s="288">
        <f>SUM(D57:F58)</f>
        <v>25</v>
      </c>
      <c r="H57" s="288">
        <v>1</v>
      </c>
      <c r="I57" s="525">
        <f t="shared" ref="I57" si="23">H57*24000*1</f>
        <v>24000</v>
      </c>
      <c r="J57" s="293">
        <v>0</v>
      </c>
      <c r="K57" s="295">
        <f t="shared" ref="K57" si="24">J57*20000*1</f>
        <v>0</v>
      </c>
      <c r="L57" s="295">
        <f>I57+K57</f>
        <v>24000</v>
      </c>
      <c r="M57" s="502">
        <v>8</v>
      </c>
    </row>
    <row r="58" spans="1:13" ht="15" customHeight="1" x14ac:dyDescent="0.25">
      <c r="A58" s="451"/>
      <c r="B58" s="287" t="s">
        <v>123</v>
      </c>
      <c r="C58" s="287"/>
      <c r="D58" s="26"/>
      <c r="E58" s="26"/>
      <c r="F58" s="26"/>
      <c r="G58" s="289"/>
      <c r="H58" s="289"/>
      <c r="I58" s="526"/>
      <c r="J58" s="294"/>
      <c r="K58" s="296"/>
      <c r="L58" s="296"/>
      <c r="M58" s="531"/>
    </row>
    <row r="59" spans="1:13" ht="15" customHeight="1" x14ac:dyDescent="0.25">
      <c r="A59" s="455">
        <v>9</v>
      </c>
      <c r="B59" s="286" t="s">
        <v>219</v>
      </c>
      <c r="C59" s="286" t="s">
        <v>313</v>
      </c>
      <c r="D59" s="25">
        <v>16</v>
      </c>
      <c r="E59" s="25"/>
      <c r="F59" s="25"/>
      <c r="G59" s="451">
        <f>SUM(D59:F60)</f>
        <v>25</v>
      </c>
      <c r="H59" s="451">
        <v>1</v>
      </c>
      <c r="I59" s="525">
        <f t="shared" ref="I59" si="25">H59*24000*1</f>
        <v>24000</v>
      </c>
      <c r="J59" s="528">
        <v>0</v>
      </c>
      <c r="K59" s="522">
        <f t="shared" ref="K59" si="26">J59*20000*1</f>
        <v>0</v>
      </c>
      <c r="L59" s="522">
        <f>I59+K59</f>
        <v>24000</v>
      </c>
      <c r="M59" s="453">
        <v>9</v>
      </c>
    </row>
    <row r="60" spans="1:13" ht="15" customHeight="1" x14ac:dyDescent="0.25">
      <c r="A60" s="455"/>
      <c r="B60" s="179" t="s">
        <v>193</v>
      </c>
      <c r="C60" s="179" t="s">
        <v>43</v>
      </c>
      <c r="D60" s="27"/>
      <c r="E60" s="27"/>
      <c r="F60" s="27">
        <v>9</v>
      </c>
      <c r="G60" s="459"/>
      <c r="H60" s="459"/>
      <c r="I60" s="526"/>
      <c r="J60" s="529"/>
      <c r="K60" s="523"/>
      <c r="L60" s="524"/>
      <c r="M60" s="454"/>
    </row>
    <row r="61" spans="1:13" ht="15" customHeight="1" x14ac:dyDescent="0.25">
      <c r="A61" s="455">
        <v>10</v>
      </c>
      <c r="B61" s="286" t="s">
        <v>261</v>
      </c>
      <c r="C61" s="286" t="s">
        <v>29</v>
      </c>
      <c r="D61" s="25">
        <v>16</v>
      </c>
      <c r="E61" s="25">
        <v>12</v>
      </c>
      <c r="F61" s="25"/>
      <c r="G61" s="451">
        <f>SUM(D61:F62)</f>
        <v>28</v>
      </c>
      <c r="H61" s="451">
        <v>4</v>
      </c>
      <c r="I61" s="525">
        <f t="shared" ref="I61" si="27">H61*24000*1</f>
        <v>96000</v>
      </c>
      <c r="J61" s="528">
        <v>0</v>
      </c>
      <c r="K61" s="522">
        <f t="shared" ref="K61" si="28">J61*20000*1</f>
        <v>0</v>
      </c>
      <c r="L61" s="522">
        <f>I61+K61</f>
        <v>96000</v>
      </c>
      <c r="M61" s="502">
        <v>10</v>
      </c>
    </row>
    <row r="62" spans="1:13" ht="15" customHeight="1" x14ac:dyDescent="0.25">
      <c r="A62" s="451"/>
      <c r="B62" s="179" t="s">
        <v>264</v>
      </c>
      <c r="C62" s="179"/>
      <c r="D62" s="27"/>
      <c r="E62" s="27"/>
      <c r="F62" s="27"/>
      <c r="G62" s="459"/>
      <c r="H62" s="459"/>
      <c r="I62" s="526"/>
      <c r="J62" s="529"/>
      <c r="K62" s="523"/>
      <c r="L62" s="524"/>
      <c r="M62" s="531"/>
    </row>
    <row r="63" spans="1:13" ht="15" customHeight="1" x14ac:dyDescent="0.25">
      <c r="A63" s="455">
        <v>11</v>
      </c>
      <c r="B63" s="286" t="s">
        <v>325</v>
      </c>
      <c r="C63" s="286" t="s">
        <v>37</v>
      </c>
      <c r="D63" s="25">
        <v>10</v>
      </c>
      <c r="E63" s="25"/>
      <c r="F63" s="25"/>
      <c r="G63" s="451">
        <f>SUM(D63:F65)</f>
        <v>29</v>
      </c>
      <c r="H63" s="451">
        <v>5</v>
      </c>
      <c r="I63" s="525">
        <f t="shared" ref="I63" si="29">H63*24000*1</f>
        <v>120000</v>
      </c>
      <c r="J63" s="528">
        <v>0</v>
      </c>
      <c r="K63" s="522">
        <f t="shared" ref="K63" si="30">J63*20000*1</f>
        <v>0</v>
      </c>
      <c r="L63" s="522">
        <f>I63+K63</f>
        <v>120000</v>
      </c>
      <c r="M63" s="535">
        <v>11</v>
      </c>
    </row>
    <row r="64" spans="1:13" ht="15" customHeight="1" x14ac:dyDescent="0.25">
      <c r="A64" s="451"/>
      <c r="B64" s="162" t="s">
        <v>324</v>
      </c>
      <c r="C64" s="179" t="s">
        <v>257</v>
      </c>
      <c r="D64" s="27"/>
      <c r="E64" s="27">
        <v>10</v>
      </c>
      <c r="F64" s="27"/>
      <c r="G64" s="459"/>
      <c r="H64" s="459"/>
      <c r="I64" s="534"/>
      <c r="J64" s="529"/>
      <c r="K64" s="524"/>
      <c r="L64" s="524"/>
      <c r="M64" s="536"/>
    </row>
    <row r="65" spans="1:13" ht="15" customHeight="1" thickBot="1" x14ac:dyDescent="0.3">
      <c r="A65" s="451"/>
      <c r="B65" s="179"/>
      <c r="C65" s="179" t="s">
        <v>43</v>
      </c>
      <c r="D65" s="27">
        <v>9</v>
      </c>
      <c r="E65" s="27"/>
      <c r="F65" s="27"/>
      <c r="G65" s="459"/>
      <c r="H65" s="459"/>
      <c r="I65" s="526"/>
      <c r="J65" s="529"/>
      <c r="K65" s="523"/>
      <c r="L65" s="524"/>
      <c r="M65" s="537"/>
    </row>
    <row r="66" spans="1:13" ht="15" customHeight="1" x14ac:dyDescent="0.25">
      <c r="A66" s="519" t="s">
        <v>141</v>
      </c>
      <c r="B66" s="520"/>
      <c r="C66" s="520"/>
      <c r="D66" s="520"/>
      <c r="E66" s="520"/>
      <c r="F66" s="520"/>
      <c r="G66" s="521"/>
      <c r="H66" s="237">
        <f>SUM(H45:H65)</f>
        <v>31</v>
      </c>
      <c r="I66" s="238">
        <f>SUM(I45:I65)</f>
        <v>744000</v>
      </c>
      <c r="J66" s="239">
        <f>SUM(J45:J65)</f>
        <v>2</v>
      </c>
      <c r="K66" s="238">
        <f>SUM(K45:K65)</f>
        <v>240000</v>
      </c>
      <c r="L66" s="238">
        <f>SUM(L45:L65)</f>
        <v>984000</v>
      </c>
      <c r="M66" s="240"/>
    </row>
    <row r="67" spans="1:13" ht="6" customHeight="1" x14ac:dyDescent="0.25">
      <c r="B67" s="4"/>
      <c r="C67" s="4"/>
      <c r="E67" s="4"/>
      <c r="F67" s="4"/>
      <c r="G67" s="4"/>
      <c r="I67" s="4"/>
      <c r="J67" s="4"/>
      <c r="K67" s="4"/>
      <c r="L67" s="4"/>
    </row>
    <row r="68" spans="1:13" ht="14.1" customHeight="1" x14ac:dyDescent="0.25">
      <c r="A68" s="5"/>
      <c r="B68" s="4"/>
      <c r="C68" s="4"/>
      <c r="E68" s="4"/>
      <c r="F68" s="4"/>
      <c r="G68" s="4"/>
      <c r="I68" s="4"/>
      <c r="J68" s="4"/>
      <c r="K68" s="4" t="s">
        <v>332</v>
      </c>
    </row>
    <row r="69" spans="1:13" ht="14.1" customHeight="1" x14ac:dyDescent="0.25">
      <c r="A69" s="5"/>
      <c r="B69" s="4"/>
      <c r="C69" s="4"/>
      <c r="E69" s="4"/>
      <c r="F69" s="4"/>
      <c r="G69" s="4"/>
      <c r="I69" s="4"/>
      <c r="J69" s="4"/>
      <c r="K69" s="36" t="s">
        <v>82</v>
      </c>
    </row>
    <row r="70" spans="1:13" ht="14.1" customHeight="1" x14ac:dyDescent="0.25">
      <c r="A70" s="4"/>
      <c r="B70" s="4"/>
      <c r="C70" s="4"/>
      <c r="E70" s="4"/>
      <c r="F70" s="4"/>
      <c r="G70" s="4"/>
      <c r="K70" s="4"/>
    </row>
    <row r="71" spans="1:13" ht="14.1" customHeight="1" x14ac:dyDescent="0.25">
      <c r="K71" s="4"/>
    </row>
    <row r="72" spans="1:13" ht="14.1" customHeight="1" x14ac:dyDescent="0.25">
      <c r="K72" s="106" t="s">
        <v>276</v>
      </c>
    </row>
    <row r="73" spans="1:13" ht="14.1" customHeight="1" x14ac:dyDescent="0.25">
      <c r="K73" s="106" t="s">
        <v>277</v>
      </c>
    </row>
    <row r="74" spans="1:13" ht="14.1" customHeight="1" x14ac:dyDescent="0.25"/>
    <row r="75" spans="1:13" ht="14.1" customHeight="1" x14ac:dyDescent="0.25"/>
  </sheetData>
  <mergeCells count="175">
    <mergeCell ref="K47:K48"/>
    <mergeCell ref="L47:L48"/>
    <mergeCell ref="M47:M48"/>
    <mergeCell ref="D48:F48"/>
    <mergeCell ref="A47:A48"/>
    <mergeCell ref="A66:G66"/>
    <mergeCell ref="G47:G48"/>
    <mergeCell ref="H47:H48"/>
    <mergeCell ref="I47:I48"/>
    <mergeCell ref="J47:J48"/>
    <mergeCell ref="I55:I56"/>
    <mergeCell ref="A55:A56"/>
    <mergeCell ref="H55:H56"/>
    <mergeCell ref="A61:A62"/>
    <mergeCell ref="G61:G62"/>
    <mergeCell ref="H61:H62"/>
    <mergeCell ref="I61:I62"/>
    <mergeCell ref="J61:J62"/>
    <mergeCell ref="K59:K60"/>
    <mergeCell ref="L59:L60"/>
    <mergeCell ref="M59:M60"/>
    <mergeCell ref="A63:A65"/>
    <mergeCell ref="G63:G65"/>
    <mergeCell ref="H63:H65"/>
    <mergeCell ref="I63:I65"/>
    <mergeCell ref="J63:J65"/>
    <mergeCell ref="K63:K65"/>
    <mergeCell ref="L63:L65"/>
    <mergeCell ref="M63:M65"/>
    <mergeCell ref="K61:K62"/>
    <mergeCell ref="L61:L62"/>
    <mergeCell ref="M61:M62"/>
    <mergeCell ref="A59:A60"/>
    <mergeCell ref="G59:G60"/>
    <mergeCell ref="H59:H60"/>
    <mergeCell ref="I59:I60"/>
    <mergeCell ref="J59:J60"/>
    <mergeCell ref="K53:K54"/>
    <mergeCell ref="L53:L54"/>
    <mergeCell ref="M53:M54"/>
    <mergeCell ref="D54:F54"/>
    <mergeCell ref="A57:A58"/>
    <mergeCell ref="I57:I58"/>
    <mergeCell ref="M57:M58"/>
    <mergeCell ref="M55:M56"/>
    <mergeCell ref="A53:A54"/>
    <mergeCell ref="G53:G54"/>
    <mergeCell ref="H53:H54"/>
    <mergeCell ref="I53:I54"/>
    <mergeCell ref="J53:J54"/>
    <mergeCell ref="K49:K50"/>
    <mergeCell ref="L49:L50"/>
    <mergeCell ref="M49:M50"/>
    <mergeCell ref="A51:A52"/>
    <mergeCell ref="G51:G52"/>
    <mergeCell ref="H51:H52"/>
    <mergeCell ref="I51:I52"/>
    <mergeCell ref="J51:J52"/>
    <mergeCell ref="K51:K52"/>
    <mergeCell ref="L51:L52"/>
    <mergeCell ref="M51:M52"/>
    <mergeCell ref="A49:A50"/>
    <mergeCell ref="G49:G50"/>
    <mergeCell ref="H49:H50"/>
    <mergeCell ref="I49:I50"/>
    <mergeCell ref="J49:J50"/>
    <mergeCell ref="K43:K44"/>
    <mergeCell ref="L43:L44"/>
    <mergeCell ref="M43:M44"/>
    <mergeCell ref="A45:A46"/>
    <mergeCell ref="G45:G46"/>
    <mergeCell ref="H45:H46"/>
    <mergeCell ref="I45:I46"/>
    <mergeCell ref="J45:J46"/>
    <mergeCell ref="K45:K46"/>
    <mergeCell ref="L45:L46"/>
    <mergeCell ref="M45:M46"/>
    <mergeCell ref="D46:F46"/>
    <mergeCell ref="A43:A44"/>
    <mergeCell ref="G43:G44"/>
    <mergeCell ref="H43:H44"/>
    <mergeCell ref="I43:I44"/>
    <mergeCell ref="J43:J44"/>
    <mergeCell ref="A35:M35"/>
    <mergeCell ref="A36:M36"/>
    <mergeCell ref="A37:M37"/>
    <mergeCell ref="A38:M38"/>
    <mergeCell ref="A40:A42"/>
    <mergeCell ref="B40:B42"/>
    <mergeCell ref="C40:C42"/>
    <mergeCell ref="D40:F41"/>
    <mergeCell ref="G40:G42"/>
    <mergeCell ref="H40:H42"/>
    <mergeCell ref="I40:I42"/>
    <mergeCell ref="J40:J42"/>
    <mergeCell ref="K40:K42"/>
    <mergeCell ref="L40:L42"/>
    <mergeCell ref="M40:M42"/>
    <mergeCell ref="H9:H10"/>
    <mergeCell ref="I9:I10"/>
    <mergeCell ref="J9:J10"/>
    <mergeCell ref="G11:G12"/>
    <mergeCell ref="G13:G14"/>
    <mergeCell ref="G15:G16"/>
    <mergeCell ref="K6:K8"/>
    <mergeCell ref="A13:A14"/>
    <mergeCell ref="A15:A16"/>
    <mergeCell ref="A1:M1"/>
    <mergeCell ref="A2:M2"/>
    <mergeCell ref="A3:M3"/>
    <mergeCell ref="I13:I14"/>
    <mergeCell ref="I15:I16"/>
    <mergeCell ref="G6:G8"/>
    <mergeCell ref="I6:I8"/>
    <mergeCell ref="A6:A8"/>
    <mergeCell ref="B6:B8"/>
    <mergeCell ref="C6:C8"/>
    <mergeCell ref="D6:F7"/>
    <mergeCell ref="D12:F12"/>
    <mergeCell ref="H11:H12"/>
    <mergeCell ref="H15:H16"/>
    <mergeCell ref="K9:K10"/>
    <mergeCell ref="I11:I12"/>
    <mergeCell ref="H13:H14"/>
    <mergeCell ref="H6:H8"/>
    <mergeCell ref="M6:M8"/>
    <mergeCell ref="M11:M12"/>
    <mergeCell ref="M13:M14"/>
    <mergeCell ref="M15:M16"/>
    <mergeCell ref="L9:L10"/>
    <mergeCell ref="M9:M10"/>
    <mergeCell ref="A4:M4"/>
    <mergeCell ref="L23:L24"/>
    <mergeCell ref="L6:L8"/>
    <mergeCell ref="J6:J8"/>
    <mergeCell ref="J11:J12"/>
    <mergeCell ref="J13:J14"/>
    <mergeCell ref="J15:J16"/>
    <mergeCell ref="K11:K12"/>
    <mergeCell ref="L11:L12"/>
    <mergeCell ref="K13:K14"/>
    <mergeCell ref="L13:L14"/>
    <mergeCell ref="K15:K16"/>
    <mergeCell ref="L15:L16"/>
    <mergeCell ref="A11:A12"/>
    <mergeCell ref="K23:K24"/>
    <mergeCell ref="G17:G18"/>
    <mergeCell ref="A17:A18"/>
    <mergeCell ref="J17:J18"/>
    <mergeCell ref="M23:M24"/>
    <mergeCell ref="M17:M18"/>
    <mergeCell ref="M19:M20"/>
    <mergeCell ref="M21:M22"/>
    <mergeCell ref="A9:A10"/>
    <mergeCell ref="G9:G10"/>
    <mergeCell ref="A25:G25"/>
    <mergeCell ref="L17:L18"/>
    <mergeCell ref="K21:K22"/>
    <mergeCell ref="L21:L22"/>
    <mergeCell ref="I17:I18"/>
    <mergeCell ref="D18:F18"/>
    <mergeCell ref="H17:H18"/>
    <mergeCell ref="I19:I20"/>
    <mergeCell ref="I21:I22"/>
    <mergeCell ref="H21:H22"/>
    <mergeCell ref="A21:A22"/>
    <mergeCell ref="A23:A24"/>
    <mergeCell ref="A19:A20"/>
    <mergeCell ref="J21:J22"/>
    <mergeCell ref="J23:J24"/>
    <mergeCell ref="K17:K18"/>
    <mergeCell ref="G21:G22"/>
    <mergeCell ref="G23:G24"/>
    <mergeCell ref="H23:H24"/>
    <mergeCell ref="I23:I24"/>
  </mergeCells>
  <pageMargins left="1.75" right="0.47244094488188981" top="0.49" bottom="0.37" header="0.31496062992125984" footer="0.31496062992125984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"/>
  <sheetViews>
    <sheetView topLeftCell="A69" zoomScale="80" zoomScaleNormal="80" workbookViewId="0">
      <selection activeCell="W11" sqref="W11"/>
    </sheetView>
  </sheetViews>
  <sheetFormatPr defaultRowHeight="15" x14ac:dyDescent="0.25"/>
  <cols>
    <col min="1" max="1" width="4.85546875" customWidth="1"/>
    <col min="2" max="2" width="25.85546875" customWidth="1"/>
    <col min="3" max="3" width="14" customWidth="1"/>
    <col min="4" max="4" width="6" customWidth="1"/>
    <col min="5" max="6" width="11.5703125" customWidth="1"/>
    <col min="7" max="19" width="4.7109375" customWidth="1"/>
    <col min="20" max="20" width="12.85546875" customWidth="1"/>
  </cols>
  <sheetData>
    <row r="1" spans="1:20" ht="15.6" customHeight="1" x14ac:dyDescent="0.25">
      <c r="A1" s="541">
        <v>1</v>
      </c>
      <c r="B1" s="68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 t="s">
        <v>418</v>
      </c>
      <c r="P1" s="65"/>
      <c r="Q1" s="65"/>
      <c r="R1" s="65"/>
      <c r="S1" s="65"/>
      <c r="T1" s="65"/>
    </row>
    <row r="2" spans="1:20" ht="18.600000000000001" customHeight="1" thickBot="1" x14ac:dyDescent="0.35">
      <c r="A2" s="542"/>
      <c r="B2" s="68" t="s">
        <v>419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196"/>
      <c r="O2" s="65"/>
      <c r="P2" s="65"/>
      <c r="Q2" s="65"/>
      <c r="R2" s="65"/>
      <c r="S2" s="65"/>
      <c r="T2" s="65"/>
    </row>
    <row r="3" spans="1:20" ht="15.6" customHeight="1" x14ac:dyDescent="0.25">
      <c r="A3" s="543" t="s">
        <v>2</v>
      </c>
      <c r="B3" s="506" t="s">
        <v>3</v>
      </c>
      <c r="C3" s="69" t="s">
        <v>4</v>
      </c>
      <c r="D3" s="69" t="s">
        <v>5</v>
      </c>
      <c r="E3" s="69" t="s">
        <v>205</v>
      </c>
      <c r="F3" s="69" t="s">
        <v>6</v>
      </c>
      <c r="G3" s="555" t="s">
        <v>7</v>
      </c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6"/>
      <c r="T3" s="538" t="s">
        <v>8</v>
      </c>
    </row>
    <row r="4" spans="1:20" ht="15.75" x14ac:dyDescent="0.25">
      <c r="A4" s="544"/>
      <c r="B4" s="506"/>
      <c r="C4" s="546" t="s">
        <v>9</v>
      </c>
      <c r="D4" s="546" t="s">
        <v>10</v>
      </c>
      <c r="E4" s="398" t="s">
        <v>206</v>
      </c>
      <c r="F4" s="398" t="s">
        <v>11</v>
      </c>
      <c r="G4" s="508" t="s">
        <v>12</v>
      </c>
      <c r="H4" s="558"/>
      <c r="I4" s="558"/>
      <c r="J4" s="558"/>
      <c r="K4" s="557" t="s">
        <v>13</v>
      </c>
      <c r="L4" s="558"/>
      <c r="M4" s="558"/>
      <c r="N4" s="558"/>
      <c r="O4" s="557" t="s">
        <v>14</v>
      </c>
      <c r="P4" s="558"/>
      <c r="Q4" s="558"/>
      <c r="R4" s="558"/>
      <c r="S4" s="559" t="s">
        <v>15</v>
      </c>
      <c r="T4" s="538"/>
    </row>
    <row r="5" spans="1:20" ht="15.75" x14ac:dyDescent="0.25">
      <c r="A5" s="545"/>
      <c r="B5" s="506"/>
      <c r="C5" s="547"/>
      <c r="D5" s="547"/>
      <c r="E5" s="399" t="s">
        <v>200</v>
      </c>
      <c r="F5" s="399" t="s">
        <v>16</v>
      </c>
      <c r="G5" s="396" t="s">
        <v>17</v>
      </c>
      <c r="H5" s="396" t="s">
        <v>18</v>
      </c>
      <c r="I5" s="396" t="s">
        <v>19</v>
      </c>
      <c r="J5" s="396" t="s">
        <v>20</v>
      </c>
      <c r="K5" s="397" t="s">
        <v>17</v>
      </c>
      <c r="L5" s="396" t="s">
        <v>18</v>
      </c>
      <c r="M5" s="396" t="s">
        <v>19</v>
      </c>
      <c r="N5" s="396" t="s">
        <v>20</v>
      </c>
      <c r="O5" s="397" t="s">
        <v>17</v>
      </c>
      <c r="P5" s="396" t="s">
        <v>18</v>
      </c>
      <c r="Q5" s="396" t="s">
        <v>19</v>
      </c>
      <c r="R5" s="396" t="s">
        <v>20</v>
      </c>
      <c r="S5" s="559"/>
      <c r="T5" s="538"/>
    </row>
    <row r="6" spans="1:20" ht="15.6" customHeight="1" x14ac:dyDescent="0.25">
      <c r="A6" s="71" t="s">
        <v>17</v>
      </c>
      <c r="B6" s="72" t="s">
        <v>279</v>
      </c>
      <c r="C6" s="560" t="s">
        <v>346</v>
      </c>
      <c r="D6" s="21" t="s">
        <v>23</v>
      </c>
      <c r="E6" s="73" t="s">
        <v>31</v>
      </c>
      <c r="F6" s="73" t="s">
        <v>31</v>
      </c>
      <c r="G6" s="44"/>
      <c r="H6" s="44"/>
      <c r="I6" s="44"/>
      <c r="J6" s="44"/>
      <c r="K6" s="80"/>
      <c r="L6" s="58"/>
      <c r="M6" s="44"/>
      <c r="N6" s="44"/>
      <c r="O6" s="45"/>
      <c r="P6" s="44"/>
      <c r="Q6" s="44"/>
      <c r="R6" s="44"/>
      <c r="S6" s="320">
        <f>SUM(G6:R6)</f>
        <v>0</v>
      </c>
      <c r="T6" s="304" t="s">
        <v>25</v>
      </c>
    </row>
    <row r="7" spans="1:20" ht="15.75" x14ac:dyDescent="0.25">
      <c r="A7" s="71"/>
      <c r="B7" s="74" t="s">
        <v>280</v>
      </c>
      <c r="C7" s="561"/>
      <c r="D7" s="70"/>
      <c r="E7" s="73"/>
      <c r="F7" s="73" t="s">
        <v>174</v>
      </c>
      <c r="G7" s="44"/>
      <c r="H7" s="44"/>
      <c r="I7" s="44"/>
      <c r="J7" s="44"/>
      <c r="K7" s="45"/>
      <c r="L7" s="44"/>
      <c r="M7" s="44"/>
      <c r="N7" s="44"/>
      <c r="O7" s="45"/>
      <c r="P7" s="44"/>
      <c r="Q7" s="44"/>
      <c r="R7" s="44"/>
      <c r="S7" s="320"/>
      <c r="T7" s="298"/>
    </row>
    <row r="8" spans="1:20" ht="15.75" x14ac:dyDescent="0.25">
      <c r="A8" s="76"/>
      <c r="B8" s="75"/>
      <c r="C8" s="562"/>
      <c r="D8" s="75"/>
      <c r="E8" s="77"/>
      <c r="F8" s="77"/>
      <c r="G8" s="56"/>
      <c r="H8" s="56"/>
      <c r="I8" s="56"/>
      <c r="J8" s="56"/>
      <c r="K8" s="55"/>
      <c r="L8" s="56"/>
      <c r="M8" s="56"/>
      <c r="N8" s="56"/>
      <c r="O8" s="55"/>
      <c r="P8" s="56"/>
      <c r="Q8" s="56"/>
      <c r="R8" s="56"/>
      <c r="S8" s="323"/>
      <c r="T8" s="299"/>
    </row>
    <row r="9" spans="1:20" ht="15.6" customHeight="1" x14ac:dyDescent="0.25">
      <c r="A9" s="24" t="s">
        <v>18</v>
      </c>
      <c r="B9" s="78" t="s">
        <v>263</v>
      </c>
      <c r="C9" s="563" t="s">
        <v>348</v>
      </c>
      <c r="D9" s="48" t="s">
        <v>23</v>
      </c>
      <c r="E9" s="79" t="s">
        <v>31</v>
      </c>
      <c r="F9" s="79" t="s">
        <v>31</v>
      </c>
      <c r="G9" s="38">
        <v>2</v>
      </c>
      <c r="H9" s="38">
        <v>2</v>
      </c>
      <c r="I9" s="38">
        <v>2</v>
      </c>
      <c r="J9" s="38">
        <v>2</v>
      </c>
      <c r="K9" s="37"/>
      <c r="L9" s="38"/>
      <c r="M9" s="38">
        <v>2</v>
      </c>
      <c r="N9" s="38">
        <v>2</v>
      </c>
      <c r="O9" s="37"/>
      <c r="P9" s="38"/>
      <c r="Q9" s="38"/>
      <c r="R9" s="38"/>
      <c r="S9" s="321">
        <f>SUM(G9:R9)</f>
        <v>12</v>
      </c>
      <c r="T9" s="307" t="s">
        <v>258</v>
      </c>
    </row>
    <row r="10" spans="1:20" ht="15.75" x14ac:dyDescent="0.25">
      <c r="A10" s="71"/>
      <c r="B10" s="70" t="s">
        <v>265</v>
      </c>
      <c r="C10" s="564"/>
      <c r="D10" s="70"/>
      <c r="E10" s="73"/>
      <c r="F10" s="73"/>
      <c r="G10" s="44"/>
      <c r="H10" s="44"/>
      <c r="I10" s="44"/>
      <c r="J10" s="44"/>
      <c r="K10" s="45"/>
      <c r="L10" s="44"/>
      <c r="M10" s="44"/>
      <c r="N10" s="44"/>
      <c r="O10" s="45"/>
      <c r="P10" s="44"/>
      <c r="Q10" s="44"/>
      <c r="R10" s="44"/>
      <c r="S10" s="320"/>
      <c r="T10" s="308"/>
    </row>
    <row r="11" spans="1:20" ht="15.75" x14ac:dyDescent="0.25">
      <c r="A11" s="76"/>
      <c r="B11" s="84"/>
      <c r="C11" s="75"/>
      <c r="D11" s="75"/>
      <c r="E11" s="77"/>
      <c r="F11" s="77"/>
      <c r="G11" s="56"/>
      <c r="H11" s="56"/>
      <c r="I11" s="56"/>
      <c r="J11" s="56"/>
      <c r="K11" s="55"/>
      <c r="L11" s="56"/>
      <c r="M11" s="56"/>
      <c r="N11" s="56"/>
      <c r="O11" s="55"/>
      <c r="P11" s="56"/>
      <c r="Q11" s="56"/>
      <c r="R11" s="56"/>
      <c r="S11" s="323"/>
      <c r="T11" s="309"/>
    </row>
    <row r="12" spans="1:20" ht="15.6" customHeight="1" x14ac:dyDescent="0.25">
      <c r="A12" s="71" t="s">
        <v>19</v>
      </c>
      <c r="B12" s="78" t="s">
        <v>234</v>
      </c>
      <c r="C12" s="553" t="s">
        <v>347</v>
      </c>
      <c r="D12" s="48" t="s">
        <v>23</v>
      </c>
      <c r="E12" s="79" t="s">
        <v>222</v>
      </c>
      <c r="F12" s="87" t="s">
        <v>222</v>
      </c>
      <c r="G12" s="38"/>
      <c r="H12" s="38"/>
      <c r="I12" s="38"/>
      <c r="J12" s="38"/>
      <c r="K12" s="37">
        <v>3</v>
      </c>
      <c r="L12" s="38">
        <v>3</v>
      </c>
      <c r="M12" s="38">
        <v>3</v>
      </c>
      <c r="N12" s="38">
        <v>3</v>
      </c>
      <c r="O12" s="37">
        <v>3</v>
      </c>
      <c r="P12" s="38">
        <v>3</v>
      </c>
      <c r="Q12" s="38">
        <v>3</v>
      </c>
      <c r="R12" s="38">
        <v>3</v>
      </c>
      <c r="S12" s="321">
        <f>SUM(G12:R13)</f>
        <v>24</v>
      </c>
      <c r="T12" s="305" t="s">
        <v>176</v>
      </c>
    </row>
    <row r="13" spans="1:20" ht="15.75" x14ac:dyDescent="0.25">
      <c r="A13" s="71"/>
      <c r="B13" s="70" t="s">
        <v>104</v>
      </c>
      <c r="C13" s="554"/>
      <c r="D13" s="70"/>
      <c r="E13" s="73"/>
      <c r="F13" s="73" t="s">
        <v>341</v>
      </c>
      <c r="G13" s="44"/>
      <c r="H13" s="44"/>
      <c r="I13" s="44"/>
      <c r="J13" s="44"/>
      <c r="K13" s="45"/>
      <c r="L13" s="44"/>
      <c r="M13" s="44"/>
      <c r="N13" s="44"/>
      <c r="O13" s="45"/>
      <c r="P13" s="58"/>
      <c r="Q13" s="44"/>
      <c r="R13" s="44"/>
      <c r="S13" s="320"/>
      <c r="T13" s="303" t="s">
        <v>353</v>
      </c>
    </row>
    <row r="14" spans="1:20" ht="15.75" x14ac:dyDescent="0.25">
      <c r="A14" s="71"/>
      <c r="B14" s="75"/>
      <c r="C14" s="75"/>
      <c r="D14" s="75"/>
      <c r="E14" s="77"/>
      <c r="F14" s="77"/>
      <c r="G14" s="56"/>
      <c r="H14" s="56"/>
      <c r="I14" s="56"/>
      <c r="J14" s="56"/>
      <c r="K14" s="55"/>
      <c r="L14" s="56"/>
      <c r="M14" s="56"/>
      <c r="N14" s="56"/>
      <c r="O14" s="55"/>
      <c r="P14" s="56"/>
      <c r="Q14" s="56"/>
      <c r="R14" s="56"/>
      <c r="S14" s="323"/>
      <c r="T14" s="306"/>
    </row>
    <row r="15" spans="1:20" ht="15.75" x14ac:dyDescent="0.25">
      <c r="A15" s="24" t="s">
        <v>20</v>
      </c>
      <c r="B15" s="78" t="s">
        <v>33</v>
      </c>
      <c r="C15" s="23" t="s">
        <v>349</v>
      </c>
      <c r="D15" s="48" t="s">
        <v>23</v>
      </c>
      <c r="E15" s="79" t="s">
        <v>177</v>
      </c>
      <c r="F15" s="79" t="s">
        <v>177</v>
      </c>
      <c r="G15" s="38"/>
      <c r="H15" s="38"/>
      <c r="I15" s="38"/>
      <c r="J15" s="38"/>
      <c r="K15" s="37"/>
      <c r="L15" s="38"/>
      <c r="M15" s="38">
        <v>6</v>
      </c>
      <c r="N15" s="38">
        <v>6</v>
      </c>
      <c r="O15" s="37">
        <v>6</v>
      </c>
      <c r="P15" s="38">
        <v>6</v>
      </c>
      <c r="Q15" s="38"/>
      <c r="R15" s="38"/>
      <c r="S15" s="321">
        <f>SUM(G15:R17)</f>
        <v>24</v>
      </c>
      <c r="T15" s="300" t="s">
        <v>435</v>
      </c>
    </row>
    <row r="16" spans="1:20" ht="15.75" x14ac:dyDescent="0.25">
      <c r="A16" s="71"/>
      <c r="B16" s="70" t="s">
        <v>101</v>
      </c>
      <c r="C16" s="70"/>
      <c r="D16" s="70"/>
      <c r="E16" s="73"/>
      <c r="F16" s="73"/>
      <c r="G16" s="44"/>
      <c r="H16" s="44"/>
      <c r="I16" s="44"/>
      <c r="J16" s="44"/>
      <c r="K16" s="45"/>
      <c r="L16" s="44"/>
      <c r="M16" s="44"/>
      <c r="N16" s="44"/>
      <c r="O16" s="45"/>
      <c r="P16" s="44"/>
      <c r="Q16" s="44"/>
      <c r="R16" s="85"/>
      <c r="S16" s="328"/>
      <c r="T16" s="298" t="s">
        <v>436</v>
      </c>
    </row>
    <row r="17" spans="1:20" ht="15.75" x14ac:dyDescent="0.25">
      <c r="A17" s="76"/>
      <c r="B17" s="75"/>
      <c r="C17" s="75"/>
      <c r="D17" s="75"/>
      <c r="E17" s="77"/>
      <c r="F17" s="77"/>
      <c r="G17" s="56"/>
      <c r="H17" s="56"/>
      <c r="I17" s="56"/>
      <c r="J17" s="56"/>
      <c r="K17" s="55"/>
      <c r="L17" s="56"/>
      <c r="M17" s="56"/>
      <c r="N17" s="56"/>
      <c r="O17" s="55"/>
      <c r="P17" s="56"/>
      <c r="Q17" s="56"/>
      <c r="R17" s="56"/>
      <c r="S17" s="323"/>
      <c r="T17" s="306"/>
    </row>
    <row r="18" spans="1:20" ht="15.6" customHeight="1" x14ac:dyDescent="0.25">
      <c r="A18" s="24" t="s">
        <v>21</v>
      </c>
      <c r="B18" s="78" t="s">
        <v>46</v>
      </c>
      <c r="C18" s="23" t="s">
        <v>349</v>
      </c>
      <c r="D18" s="48" t="s">
        <v>23</v>
      </c>
      <c r="E18" s="79" t="s">
        <v>47</v>
      </c>
      <c r="F18" s="414" t="s">
        <v>338</v>
      </c>
      <c r="G18" s="369"/>
      <c r="H18" s="369"/>
      <c r="I18" s="369"/>
      <c r="J18" s="369"/>
      <c r="K18" s="370">
        <v>2</v>
      </c>
      <c r="L18" s="371">
        <v>2</v>
      </c>
      <c r="M18" s="371">
        <v>2</v>
      </c>
      <c r="N18" s="371">
        <v>2</v>
      </c>
      <c r="O18" s="37"/>
      <c r="P18" s="38"/>
      <c r="Q18" s="38"/>
      <c r="R18" s="38"/>
      <c r="S18" s="329">
        <f>SUM(G18:R20)</f>
        <v>8</v>
      </c>
      <c r="T18" s="548" t="s">
        <v>297</v>
      </c>
    </row>
    <row r="19" spans="1:20" ht="15.75" x14ac:dyDescent="0.25">
      <c r="A19" s="71"/>
      <c r="B19" s="70" t="s">
        <v>253</v>
      </c>
      <c r="C19" s="70"/>
      <c r="D19" s="70"/>
      <c r="E19" s="103"/>
      <c r="F19" s="259" t="s">
        <v>29</v>
      </c>
      <c r="G19" s="104"/>
      <c r="H19" s="104"/>
      <c r="I19" s="104"/>
      <c r="J19" s="104"/>
      <c r="K19" s="105"/>
      <c r="L19" s="99"/>
      <c r="M19" s="99"/>
      <c r="N19" s="99"/>
      <c r="O19" s="105"/>
      <c r="P19" s="104"/>
      <c r="Q19" s="104"/>
      <c r="R19" s="104"/>
      <c r="S19" s="330"/>
      <c r="T19" s="549"/>
    </row>
    <row r="20" spans="1:20" ht="15.75" x14ac:dyDescent="0.25">
      <c r="A20" s="76"/>
      <c r="B20" s="75"/>
      <c r="C20" s="75"/>
      <c r="D20" s="75"/>
      <c r="E20" s="77"/>
      <c r="F20" s="77"/>
      <c r="G20" s="56"/>
      <c r="H20" s="56"/>
      <c r="I20" s="56"/>
      <c r="J20" s="56"/>
      <c r="K20" s="55"/>
      <c r="L20" s="56"/>
      <c r="M20" s="56"/>
      <c r="N20" s="56"/>
      <c r="O20" s="55"/>
      <c r="P20" s="56"/>
      <c r="Q20" s="56"/>
      <c r="R20" s="56"/>
      <c r="S20" s="323"/>
      <c r="T20" s="299"/>
    </row>
    <row r="21" spans="1:20" ht="15.75" x14ac:dyDescent="0.25">
      <c r="A21" s="24" t="s">
        <v>22</v>
      </c>
      <c r="B21" s="78" t="s">
        <v>184</v>
      </c>
      <c r="C21" s="23" t="s">
        <v>349</v>
      </c>
      <c r="D21" s="48" t="s">
        <v>23</v>
      </c>
      <c r="E21" s="79" t="s">
        <v>37</v>
      </c>
      <c r="F21" s="79" t="s">
        <v>37</v>
      </c>
      <c r="G21" s="38"/>
      <c r="H21" s="38"/>
      <c r="I21" s="38"/>
      <c r="J21" s="38"/>
      <c r="K21" s="37"/>
      <c r="L21" s="38"/>
      <c r="M21" s="38"/>
      <c r="N21" s="38">
        <v>5</v>
      </c>
      <c r="O21" s="37">
        <v>5</v>
      </c>
      <c r="P21" s="38">
        <v>5</v>
      </c>
      <c r="Q21" s="38">
        <v>5</v>
      </c>
      <c r="R21" s="38">
        <v>5</v>
      </c>
      <c r="S21" s="321">
        <f>SUM(G21:R22)</f>
        <v>25</v>
      </c>
      <c r="T21" s="301" t="s">
        <v>304</v>
      </c>
    </row>
    <row r="22" spans="1:20" ht="15.75" x14ac:dyDescent="0.25">
      <c r="A22" s="71"/>
      <c r="B22" s="70" t="s">
        <v>103</v>
      </c>
      <c r="C22" s="70"/>
      <c r="D22" s="70"/>
      <c r="E22" s="73"/>
      <c r="F22" s="73"/>
      <c r="G22" s="44"/>
      <c r="H22" s="44"/>
      <c r="I22" s="44"/>
      <c r="J22" s="44"/>
      <c r="K22" s="45"/>
      <c r="L22" s="44"/>
      <c r="M22" s="44"/>
      <c r="N22" s="44"/>
      <c r="O22" s="45"/>
      <c r="P22" s="44"/>
      <c r="Q22" s="44"/>
      <c r="R22" s="44"/>
      <c r="S22" s="320"/>
      <c r="T22" s="310"/>
    </row>
    <row r="23" spans="1:20" ht="15.75" x14ac:dyDescent="0.25">
      <c r="A23" s="76"/>
      <c r="B23" s="75"/>
      <c r="C23" s="75"/>
      <c r="D23" s="75"/>
      <c r="E23" s="77"/>
      <c r="F23" s="77"/>
      <c r="G23" s="56"/>
      <c r="H23" s="56"/>
      <c r="I23" s="56"/>
      <c r="J23" s="56"/>
      <c r="K23" s="55"/>
      <c r="L23" s="56"/>
      <c r="M23" s="56"/>
      <c r="N23" s="56"/>
      <c r="O23" s="55"/>
      <c r="P23" s="56"/>
      <c r="Q23" s="56"/>
      <c r="R23" s="56"/>
      <c r="S23" s="323"/>
      <c r="T23" s="311"/>
    </row>
    <row r="24" spans="1:20" ht="15.75" x14ac:dyDescent="0.25">
      <c r="A24" s="24" t="s">
        <v>35</v>
      </c>
      <c r="B24" s="78" t="s">
        <v>59</v>
      </c>
      <c r="C24" s="23" t="s">
        <v>349</v>
      </c>
      <c r="D24" s="48" t="s">
        <v>23</v>
      </c>
      <c r="E24" s="79" t="s">
        <v>187</v>
      </c>
      <c r="F24" s="79" t="s">
        <v>216</v>
      </c>
      <c r="G24" s="38">
        <v>3</v>
      </c>
      <c r="H24" s="38">
        <v>3</v>
      </c>
      <c r="I24" s="38">
        <v>3</v>
      </c>
      <c r="J24" s="38">
        <v>3</v>
      </c>
      <c r="K24" s="54"/>
      <c r="L24" s="41"/>
      <c r="M24" s="41"/>
      <c r="N24" s="42"/>
      <c r="O24" s="188">
        <v>2</v>
      </c>
      <c r="P24" s="189">
        <v>2</v>
      </c>
      <c r="Q24" s="189">
        <v>2</v>
      </c>
      <c r="R24" s="189">
        <v>2</v>
      </c>
      <c r="S24" s="321">
        <f>SUM(G24:R26)</f>
        <v>20</v>
      </c>
      <c r="T24" s="301" t="s">
        <v>188</v>
      </c>
    </row>
    <row r="25" spans="1:20" ht="15.75" x14ac:dyDescent="0.25">
      <c r="A25" s="71"/>
      <c r="B25" s="70" t="s">
        <v>107</v>
      </c>
      <c r="C25" s="70"/>
      <c r="D25" s="70"/>
      <c r="E25" s="82"/>
      <c r="F25" s="73"/>
      <c r="G25" s="44"/>
      <c r="H25" s="44"/>
      <c r="I25" s="44"/>
      <c r="J25" s="44"/>
      <c r="K25" s="45"/>
      <c r="L25" s="44"/>
      <c r="M25" s="44"/>
      <c r="N25" s="46"/>
      <c r="O25" s="45"/>
      <c r="P25" s="44"/>
      <c r="Q25" s="44"/>
      <c r="R25" s="44"/>
      <c r="S25" s="325"/>
      <c r="T25" s="303"/>
    </row>
    <row r="26" spans="1:20" ht="15.75" x14ac:dyDescent="0.25">
      <c r="A26" s="76"/>
      <c r="B26" s="75"/>
      <c r="C26" s="75"/>
      <c r="D26" s="75"/>
      <c r="E26" s="77"/>
      <c r="F26" s="77"/>
      <c r="G26" s="56"/>
      <c r="H26" s="56"/>
      <c r="I26" s="56"/>
      <c r="J26" s="56"/>
      <c r="K26" s="55"/>
      <c r="L26" s="56"/>
      <c r="M26" s="56"/>
      <c r="N26" s="57"/>
      <c r="O26" s="55"/>
      <c r="P26" s="56"/>
      <c r="Q26" s="56"/>
      <c r="R26" s="56"/>
      <c r="S26" s="323"/>
      <c r="T26" s="302"/>
    </row>
    <row r="27" spans="1:20" ht="15.6" customHeight="1" x14ac:dyDescent="0.25">
      <c r="A27" s="71" t="s">
        <v>36</v>
      </c>
      <c r="B27" s="78" t="s">
        <v>71</v>
      </c>
      <c r="C27" s="553" t="s">
        <v>350</v>
      </c>
      <c r="D27" s="48" t="s">
        <v>23</v>
      </c>
      <c r="E27" s="108" t="s">
        <v>26</v>
      </c>
      <c r="F27" s="108" t="s">
        <v>26</v>
      </c>
      <c r="G27" s="102"/>
      <c r="H27" s="102"/>
      <c r="I27" s="102"/>
      <c r="J27" s="102"/>
      <c r="K27" s="43"/>
      <c r="L27" s="102">
        <v>5</v>
      </c>
      <c r="M27" s="102">
        <v>5</v>
      </c>
      <c r="N27" s="109">
        <v>5</v>
      </c>
      <c r="O27" s="43"/>
      <c r="P27" s="102"/>
      <c r="Q27" s="102"/>
      <c r="R27" s="102"/>
      <c r="S27" s="317">
        <f>SUM(G27:R28)</f>
        <v>15</v>
      </c>
      <c r="T27" s="307" t="s">
        <v>176</v>
      </c>
    </row>
    <row r="28" spans="1:20" ht="15.75" x14ac:dyDescent="0.25">
      <c r="A28" s="71"/>
      <c r="B28" s="70" t="s">
        <v>119</v>
      </c>
      <c r="C28" s="554"/>
      <c r="D28" s="70"/>
      <c r="E28" s="82"/>
      <c r="F28" s="82"/>
      <c r="G28" s="58"/>
      <c r="H28" s="58"/>
      <c r="I28" s="58"/>
      <c r="J28" s="58"/>
      <c r="K28" s="80"/>
      <c r="L28" s="58"/>
      <c r="M28" s="58"/>
      <c r="N28" s="60"/>
      <c r="O28" s="80"/>
      <c r="P28" s="58"/>
      <c r="Q28" s="58"/>
      <c r="R28" s="85"/>
      <c r="S28" s="322"/>
      <c r="T28" s="304" t="s">
        <v>340</v>
      </c>
    </row>
    <row r="29" spans="1:20" ht="15.75" x14ac:dyDescent="0.25">
      <c r="A29" s="71"/>
      <c r="B29" s="75"/>
      <c r="C29" s="75"/>
      <c r="D29" s="75"/>
      <c r="E29" s="92"/>
      <c r="F29" s="92"/>
      <c r="G29" s="61"/>
      <c r="H29" s="61"/>
      <c r="I29" s="61"/>
      <c r="J29" s="61"/>
      <c r="K29" s="62"/>
      <c r="L29" s="61"/>
      <c r="M29" s="61"/>
      <c r="N29" s="93"/>
      <c r="O29" s="62"/>
      <c r="P29" s="61"/>
      <c r="Q29" s="61"/>
      <c r="R29" s="61"/>
      <c r="S29" s="319"/>
      <c r="T29" s="312"/>
    </row>
    <row r="30" spans="1:20" ht="15.6" customHeight="1" x14ac:dyDescent="0.25">
      <c r="A30" s="24" t="s">
        <v>38</v>
      </c>
      <c r="B30" s="91" t="s">
        <v>339</v>
      </c>
      <c r="C30" s="553" t="s">
        <v>350</v>
      </c>
      <c r="D30" s="21" t="s">
        <v>23</v>
      </c>
      <c r="E30" s="73" t="s">
        <v>37</v>
      </c>
      <c r="F30" s="96" t="s">
        <v>37</v>
      </c>
      <c r="G30" s="44">
        <v>5</v>
      </c>
      <c r="H30" s="44">
        <v>5</v>
      </c>
      <c r="I30" s="44">
        <v>5</v>
      </c>
      <c r="J30" s="44">
        <v>5</v>
      </c>
      <c r="K30" s="45">
        <v>5</v>
      </c>
      <c r="L30" s="44"/>
      <c r="M30" s="44"/>
      <c r="N30" s="44"/>
      <c r="O30" s="45"/>
      <c r="P30" s="44"/>
      <c r="Q30" s="44"/>
      <c r="R30" s="44"/>
      <c r="S30" s="321">
        <f>SUM(G30:R32)</f>
        <v>25</v>
      </c>
      <c r="T30" s="550" t="s">
        <v>337</v>
      </c>
    </row>
    <row r="31" spans="1:20" ht="15.75" x14ac:dyDescent="0.25">
      <c r="A31" s="71"/>
      <c r="B31" s="70" t="s">
        <v>227</v>
      </c>
      <c r="C31" s="554"/>
      <c r="D31" s="21"/>
      <c r="E31" s="73"/>
      <c r="F31" s="82"/>
      <c r="G31" s="44"/>
      <c r="H31" s="44"/>
      <c r="I31" s="44"/>
      <c r="J31" s="44"/>
      <c r="K31" s="45"/>
      <c r="L31" s="44"/>
      <c r="M31" s="44"/>
      <c r="N31" s="44"/>
      <c r="O31" s="45"/>
      <c r="P31" s="44"/>
      <c r="Q31" s="44"/>
      <c r="R31" s="44"/>
      <c r="S31" s="320"/>
      <c r="T31" s="551"/>
    </row>
    <row r="32" spans="1:20" ht="15.75" x14ac:dyDescent="0.25">
      <c r="A32" s="76"/>
      <c r="B32" s="75"/>
      <c r="C32" s="75"/>
      <c r="D32" s="75"/>
      <c r="E32" s="77"/>
      <c r="F32" s="77"/>
      <c r="G32" s="56"/>
      <c r="H32" s="56"/>
      <c r="I32" s="56"/>
      <c r="J32" s="56"/>
      <c r="K32" s="55"/>
      <c r="L32" s="56"/>
      <c r="M32" s="56"/>
      <c r="N32" s="56"/>
      <c r="O32" s="55"/>
      <c r="P32" s="56"/>
      <c r="Q32" s="56"/>
      <c r="R32" s="56"/>
      <c r="S32" s="324"/>
      <c r="T32" s="552"/>
    </row>
    <row r="35" spans="1:20" ht="15.75" x14ac:dyDescent="0.25">
      <c r="A35" s="89"/>
      <c r="B35" s="88"/>
      <c r="C35" s="88"/>
      <c r="D35" s="88"/>
      <c r="E35" s="88"/>
      <c r="F35" s="88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67"/>
    </row>
    <row r="36" spans="1:20" ht="15.6" customHeight="1" x14ac:dyDescent="0.25">
      <c r="A36" s="543" t="s">
        <v>2</v>
      </c>
      <c r="B36" s="506" t="s">
        <v>3</v>
      </c>
      <c r="C36" s="69" t="s">
        <v>4</v>
      </c>
      <c r="D36" s="69" t="s">
        <v>5</v>
      </c>
      <c r="E36" s="69" t="s">
        <v>205</v>
      </c>
      <c r="F36" s="69" t="s">
        <v>6</v>
      </c>
      <c r="G36" s="506" t="s">
        <v>7</v>
      </c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65"/>
      <c r="T36" s="538" t="s">
        <v>40</v>
      </c>
    </row>
    <row r="37" spans="1:20" ht="15.75" x14ac:dyDescent="0.25">
      <c r="A37" s="544"/>
      <c r="B37" s="506"/>
      <c r="C37" s="546" t="s">
        <v>9</v>
      </c>
      <c r="D37" s="546" t="s">
        <v>10</v>
      </c>
      <c r="E37" s="398" t="s">
        <v>206</v>
      </c>
      <c r="F37" s="398" t="s">
        <v>11</v>
      </c>
      <c r="G37" s="508" t="s">
        <v>12</v>
      </c>
      <c r="H37" s="558"/>
      <c r="I37" s="558"/>
      <c r="J37" s="558"/>
      <c r="K37" s="557" t="s">
        <v>13</v>
      </c>
      <c r="L37" s="558"/>
      <c r="M37" s="558"/>
      <c r="N37" s="558"/>
      <c r="O37" s="557" t="s">
        <v>14</v>
      </c>
      <c r="P37" s="558"/>
      <c r="Q37" s="558"/>
      <c r="R37" s="558"/>
      <c r="S37" s="559" t="s">
        <v>15</v>
      </c>
      <c r="T37" s="538"/>
    </row>
    <row r="38" spans="1:20" ht="15.75" x14ac:dyDescent="0.25">
      <c r="A38" s="545"/>
      <c r="B38" s="506"/>
      <c r="C38" s="547"/>
      <c r="D38" s="547"/>
      <c r="E38" s="399" t="s">
        <v>200</v>
      </c>
      <c r="F38" s="399" t="s">
        <v>16</v>
      </c>
      <c r="G38" s="396" t="s">
        <v>17</v>
      </c>
      <c r="H38" s="396" t="s">
        <v>18</v>
      </c>
      <c r="I38" s="396" t="s">
        <v>19</v>
      </c>
      <c r="J38" s="396" t="s">
        <v>20</v>
      </c>
      <c r="K38" s="397" t="s">
        <v>17</v>
      </c>
      <c r="L38" s="396" t="s">
        <v>18</v>
      </c>
      <c r="M38" s="396" t="s">
        <v>19</v>
      </c>
      <c r="N38" s="396" t="s">
        <v>20</v>
      </c>
      <c r="O38" s="397" t="s">
        <v>17</v>
      </c>
      <c r="P38" s="396" t="s">
        <v>18</v>
      </c>
      <c r="Q38" s="396" t="s">
        <v>19</v>
      </c>
      <c r="R38" s="396" t="s">
        <v>20</v>
      </c>
      <c r="S38" s="559"/>
      <c r="T38" s="538"/>
    </row>
    <row r="39" spans="1:20" ht="15.6" customHeight="1" x14ac:dyDescent="0.25">
      <c r="A39" s="24" t="s">
        <v>41</v>
      </c>
      <c r="B39" s="78" t="s">
        <v>69</v>
      </c>
      <c r="C39" s="553" t="s">
        <v>350</v>
      </c>
      <c r="D39" s="48" t="s">
        <v>23</v>
      </c>
      <c r="E39" s="81" t="s">
        <v>34</v>
      </c>
      <c r="F39" s="81" t="s">
        <v>177</v>
      </c>
      <c r="G39" s="41"/>
      <c r="H39" s="41"/>
      <c r="I39" s="41">
        <v>6</v>
      </c>
      <c r="J39" s="41">
        <v>6</v>
      </c>
      <c r="K39" s="54">
        <v>6</v>
      </c>
      <c r="L39" s="41">
        <v>6</v>
      </c>
      <c r="M39" s="41"/>
      <c r="N39" s="42"/>
      <c r="O39" s="54"/>
      <c r="P39" s="41"/>
      <c r="Q39" s="41"/>
      <c r="R39" s="41"/>
      <c r="S39" s="317">
        <f>SUM(G39:R39)</f>
        <v>24</v>
      </c>
      <c r="T39" s="300" t="s">
        <v>27</v>
      </c>
    </row>
    <row r="40" spans="1:20" ht="15.75" x14ac:dyDescent="0.25">
      <c r="A40" s="71"/>
      <c r="B40" s="70" t="s">
        <v>218</v>
      </c>
      <c r="C40" s="554"/>
      <c r="D40" s="70"/>
      <c r="E40" s="82"/>
      <c r="F40" s="82"/>
      <c r="G40" s="58"/>
      <c r="H40" s="58"/>
      <c r="I40" s="58"/>
      <c r="J40" s="58"/>
      <c r="K40" s="80"/>
      <c r="L40" s="58"/>
      <c r="M40" s="58"/>
      <c r="N40" s="60"/>
      <c r="O40" s="80"/>
      <c r="P40" s="58"/>
      <c r="Q40" s="58"/>
      <c r="R40" s="58"/>
      <c r="S40" s="318"/>
      <c r="T40" s="303" t="s">
        <v>50</v>
      </c>
    </row>
    <row r="41" spans="1:20" ht="15.75" x14ac:dyDescent="0.25">
      <c r="A41" s="71"/>
      <c r="B41" s="75"/>
      <c r="C41" s="75"/>
      <c r="D41" s="75"/>
      <c r="E41" s="92"/>
      <c r="F41" s="92"/>
      <c r="G41" s="61"/>
      <c r="H41" s="61"/>
      <c r="I41" s="61"/>
      <c r="J41" s="61"/>
      <c r="K41" s="62"/>
      <c r="L41" s="61"/>
      <c r="M41" s="61"/>
      <c r="N41" s="93"/>
      <c r="O41" s="62"/>
      <c r="P41" s="61"/>
      <c r="Q41" s="61"/>
      <c r="R41" s="61"/>
      <c r="S41" s="319"/>
      <c r="T41" s="299"/>
    </row>
    <row r="42" spans="1:20" ht="15.6" customHeight="1" x14ac:dyDescent="0.25">
      <c r="A42" s="24" t="s">
        <v>42</v>
      </c>
      <c r="B42" s="78" t="s">
        <v>62</v>
      </c>
      <c r="C42" s="553" t="s">
        <v>350</v>
      </c>
      <c r="D42" s="48" t="s">
        <v>23</v>
      </c>
      <c r="E42" s="23" t="s">
        <v>63</v>
      </c>
      <c r="F42" s="23" t="s">
        <v>63</v>
      </c>
      <c r="G42" s="48"/>
      <c r="H42" s="48"/>
      <c r="I42" s="48"/>
      <c r="J42" s="48"/>
      <c r="K42" s="40">
        <v>3</v>
      </c>
      <c r="L42" s="48">
        <v>3</v>
      </c>
      <c r="M42" s="48">
        <v>3</v>
      </c>
      <c r="N42" s="100">
        <v>3</v>
      </c>
      <c r="O42" s="40">
        <v>3</v>
      </c>
      <c r="P42" s="48">
        <v>3</v>
      </c>
      <c r="Q42" s="48">
        <v>3</v>
      </c>
      <c r="R42" s="48">
        <v>3</v>
      </c>
      <c r="S42" s="321">
        <f>SUM(G42:R44)</f>
        <v>24</v>
      </c>
      <c r="T42" s="301" t="s">
        <v>221</v>
      </c>
    </row>
    <row r="43" spans="1:20" ht="15.75" x14ac:dyDescent="0.25">
      <c r="A43" s="71"/>
      <c r="B43" s="70" t="s">
        <v>226</v>
      </c>
      <c r="C43" s="554"/>
      <c r="D43" s="70"/>
      <c r="E43" s="82"/>
      <c r="F43" s="82"/>
      <c r="G43" s="58"/>
      <c r="H43" s="58"/>
      <c r="I43" s="58"/>
      <c r="J43" s="58"/>
      <c r="K43" s="80"/>
      <c r="L43" s="58"/>
      <c r="M43" s="58"/>
      <c r="N43" s="60"/>
      <c r="O43" s="80"/>
      <c r="P43" s="85"/>
      <c r="Q43" s="85"/>
      <c r="R43" s="58"/>
      <c r="S43" s="322"/>
      <c r="T43" s="303" t="s">
        <v>352</v>
      </c>
    </row>
    <row r="44" spans="1:20" ht="15.75" x14ac:dyDescent="0.25">
      <c r="A44" s="71"/>
      <c r="B44" s="75"/>
      <c r="C44" s="75"/>
      <c r="D44" s="75"/>
      <c r="E44" s="77"/>
      <c r="F44" s="77"/>
      <c r="G44" s="56"/>
      <c r="H44" s="56"/>
      <c r="I44" s="56"/>
      <c r="J44" s="56"/>
      <c r="K44" s="55"/>
      <c r="L44" s="56"/>
      <c r="M44" s="56"/>
      <c r="N44" s="57"/>
      <c r="O44" s="55"/>
      <c r="P44" s="56"/>
      <c r="Q44" s="56"/>
      <c r="R44" s="56"/>
      <c r="S44" s="323"/>
      <c r="T44" s="299" t="s">
        <v>476</v>
      </c>
    </row>
    <row r="45" spans="1:20" ht="15.6" customHeight="1" x14ac:dyDescent="0.25">
      <c r="A45" s="24" t="s">
        <v>45</v>
      </c>
      <c r="B45" s="78" t="s">
        <v>322</v>
      </c>
      <c r="C45" s="553" t="s">
        <v>350</v>
      </c>
      <c r="D45" s="48" t="s">
        <v>23</v>
      </c>
      <c r="E45" s="79" t="s">
        <v>204</v>
      </c>
      <c r="F45" s="79" t="s">
        <v>204</v>
      </c>
      <c r="G45" s="38">
        <v>4</v>
      </c>
      <c r="H45" s="38">
        <v>4</v>
      </c>
      <c r="I45" s="38">
        <v>4</v>
      </c>
      <c r="J45" s="41">
        <v>4</v>
      </c>
      <c r="K45" s="37">
        <v>4</v>
      </c>
      <c r="L45" s="38">
        <v>4</v>
      </c>
      <c r="M45" s="38"/>
      <c r="N45" s="39"/>
      <c r="O45" s="37"/>
      <c r="P45" s="38"/>
      <c r="Q45" s="38"/>
      <c r="R45" s="41"/>
      <c r="S45" s="321">
        <f>SUM(G45:R45)</f>
        <v>24</v>
      </c>
      <c r="T45" s="40" t="s">
        <v>443</v>
      </c>
    </row>
    <row r="46" spans="1:20" ht="15.75" x14ac:dyDescent="0.25">
      <c r="A46" s="71"/>
      <c r="B46" s="70" t="s">
        <v>114</v>
      </c>
      <c r="C46" s="554"/>
      <c r="D46" s="70"/>
      <c r="E46" s="73"/>
      <c r="F46" s="73"/>
      <c r="G46" s="44"/>
      <c r="H46" s="44"/>
      <c r="I46" s="44"/>
      <c r="J46" s="44"/>
      <c r="K46" s="45"/>
      <c r="L46" s="44"/>
      <c r="M46" s="44"/>
      <c r="N46" s="46"/>
      <c r="O46" s="45"/>
      <c r="P46" s="44"/>
      <c r="Q46" s="44"/>
      <c r="R46" s="44"/>
      <c r="S46" s="320"/>
      <c r="T46" s="47" t="s">
        <v>444</v>
      </c>
    </row>
    <row r="47" spans="1:20" ht="15.75" x14ac:dyDescent="0.25">
      <c r="A47" s="76"/>
      <c r="B47" s="75"/>
      <c r="C47" s="75"/>
      <c r="D47" s="75"/>
      <c r="E47" s="77"/>
      <c r="F47" s="77"/>
      <c r="G47" s="56"/>
      <c r="H47" s="56"/>
      <c r="I47" s="56"/>
      <c r="J47" s="56"/>
      <c r="K47" s="55"/>
      <c r="L47" s="56"/>
      <c r="M47" s="56"/>
      <c r="N47" s="57"/>
      <c r="O47" s="55"/>
      <c r="P47" s="56"/>
      <c r="Q47" s="56"/>
      <c r="R47" s="56"/>
      <c r="S47" s="323"/>
      <c r="T47" s="303"/>
    </row>
    <row r="48" spans="1:20" ht="15.6" customHeight="1" x14ac:dyDescent="0.25">
      <c r="A48" s="24" t="s">
        <v>48</v>
      </c>
      <c r="B48" s="78" t="s">
        <v>183</v>
      </c>
      <c r="C48" s="553" t="s">
        <v>350</v>
      </c>
      <c r="D48" s="48" t="s">
        <v>23</v>
      </c>
      <c r="E48" s="108" t="s">
        <v>75</v>
      </c>
      <c r="F48" s="108" t="s">
        <v>75</v>
      </c>
      <c r="G48" s="102"/>
      <c r="H48" s="102"/>
      <c r="I48" s="102"/>
      <c r="J48" s="102"/>
      <c r="K48" s="43">
        <v>2</v>
      </c>
      <c r="L48" s="102">
        <v>2</v>
      </c>
      <c r="M48" s="102"/>
      <c r="N48" s="109"/>
      <c r="O48" s="43">
        <v>2</v>
      </c>
      <c r="P48" s="102">
        <v>2</v>
      </c>
      <c r="Q48" s="102">
        <v>2</v>
      </c>
      <c r="R48" s="102">
        <v>2</v>
      </c>
      <c r="S48" s="317">
        <f>SUM(G48:R50)</f>
        <v>12</v>
      </c>
      <c r="T48" s="307" t="s">
        <v>203</v>
      </c>
    </row>
    <row r="49" spans="1:20" ht="15.75" x14ac:dyDescent="0.25">
      <c r="A49" s="71"/>
      <c r="B49" s="70" t="s">
        <v>121</v>
      </c>
      <c r="C49" s="554"/>
      <c r="D49" s="70"/>
      <c r="E49" s="82"/>
      <c r="F49" s="110"/>
      <c r="G49" s="58"/>
      <c r="H49" s="58"/>
      <c r="I49" s="58"/>
      <c r="J49" s="58"/>
      <c r="K49" s="80"/>
      <c r="L49" s="58"/>
      <c r="M49" s="58"/>
      <c r="N49" s="85"/>
      <c r="O49" s="80"/>
      <c r="P49" s="58"/>
      <c r="Q49" s="58"/>
      <c r="R49" s="58"/>
      <c r="S49" s="322"/>
      <c r="T49" s="303" t="s">
        <v>354</v>
      </c>
    </row>
    <row r="50" spans="1:20" ht="15.75" x14ac:dyDescent="0.25">
      <c r="A50" s="76"/>
      <c r="B50" s="75"/>
      <c r="C50" s="75"/>
      <c r="D50" s="75"/>
      <c r="E50" s="92"/>
      <c r="F50" s="92"/>
      <c r="G50" s="61"/>
      <c r="H50" s="61"/>
      <c r="I50" s="61"/>
      <c r="J50" s="61"/>
      <c r="K50" s="62"/>
      <c r="L50" s="61"/>
      <c r="M50" s="61"/>
      <c r="N50" s="93"/>
      <c r="O50" s="95"/>
      <c r="P50" s="59"/>
      <c r="Q50" s="59"/>
      <c r="R50" s="61"/>
      <c r="S50" s="324"/>
      <c r="T50" s="303" t="s">
        <v>442</v>
      </c>
    </row>
    <row r="51" spans="1:20" ht="15.6" customHeight="1" x14ac:dyDescent="0.25">
      <c r="A51" s="24" t="s">
        <v>49</v>
      </c>
      <c r="B51" s="78" t="s">
        <v>182</v>
      </c>
      <c r="C51" s="553" t="s">
        <v>350</v>
      </c>
      <c r="D51" s="48" t="s">
        <v>23</v>
      </c>
      <c r="E51" s="81" t="s">
        <v>26</v>
      </c>
      <c r="F51" s="81" t="s">
        <v>26</v>
      </c>
      <c r="G51" s="41"/>
      <c r="H51" s="41"/>
      <c r="I51" s="41"/>
      <c r="J51" s="41"/>
      <c r="K51" s="41">
        <v>5</v>
      </c>
      <c r="L51" s="41"/>
      <c r="M51" s="41"/>
      <c r="N51" s="41"/>
      <c r="O51" s="54">
        <v>5</v>
      </c>
      <c r="P51" s="41">
        <v>5</v>
      </c>
      <c r="Q51" s="41">
        <v>5</v>
      </c>
      <c r="R51" s="41">
        <v>5</v>
      </c>
      <c r="S51" s="317">
        <f>SUM(G51:R53)</f>
        <v>25</v>
      </c>
      <c r="T51" s="539" t="s">
        <v>303</v>
      </c>
    </row>
    <row r="52" spans="1:20" ht="15.75" x14ac:dyDescent="0.25">
      <c r="A52" s="71"/>
      <c r="B52" s="70" t="s">
        <v>123</v>
      </c>
      <c r="C52" s="554"/>
      <c r="D52" s="70"/>
      <c r="E52" s="82"/>
      <c r="F52" s="82"/>
      <c r="G52" s="58"/>
      <c r="H52" s="58"/>
      <c r="I52" s="58"/>
      <c r="J52" s="58"/>
      <c r="K52" s="80"/>
      <c r="L52" s="58"/>
      <c r="M52" s="58"/>
      <c r="N52" s="60"/>
      <c r="O52" s="155"/>
      <c r="P52" s="85"/>
      <c r="Q52" s="85"/>
      <c r="R52" s="58"/>
      <c r="S52" s="325"/>
      <c r="T52" s="540"/>
    </row>
    <row r="53" spans="1:20" ht="15.75" x14ac:dyDescent="0.25">
      <c r="A53" s="76"/>
      <c r="B53" s="70"/>
      <c r="C53" s="70"/>
      <c r="D53" s="70"/>
      <c r="E53" s="130"/>
      <c r="F53" s="130"/>
      <c r="G53" s="257"/>
      <c r="H53" s="257"/>
      <c r="I53" s="257"/>
      <c r="J53" s="257"/>
      <c r="K53" s="256"/>
      <c r="L53" s="257"/>
      <c r="M53" s="257"/>
      <c r="N53" s="258"/>
      <c r="O53" s="256"/>
      <c r="P53" s="257"/>
      <c r="Q53" s="257"/>
      <c r="R53" s="257"/>
      <c r="S53" s="318"/>
      <c r="T53" s="303"/>
    </row>
    <row r="54" spans="1:20" ht="15.6" customHeight="1" x14ac:dyDescent="0.25">
      <c r="A54" s="24" t="s">
        <v>51</v>
      </c>
      <c r="B54" s="78" t="s">
        <v>321</v>
      </c>
      <c r="C54" s="553" t="s">
        <v>350</v>
      </c>
      <c r="D54" s="48" t="s">
        <v>23</v>
      </c>
      <c r="E54" s="108" t="s">
        <v>177</v>
      </c>
      <c r="F54" s="108" t="s">
        <v>177</v>
      </c>
      <c r="G54" s="102">
        <v>6</v>
      </c>
      <c r="H54" s="102">
        <v>6</v>
      </c>
      <c r="I54" s="102"/>
      <c r="J54" s="261"/>
      <c r="K54" s="262"/>
      <c r="L54" s="261"/>
      <c r="M54" s="261"/>
      <c r="N54" s="263"/>
      <c r="O54" s="102"/>
      <c r="P54" s="102"/>
      <c r="Q54" s="102">
        <v>6</v>
      </c>
      <c r="R54" s="261">
        <v>6</v>
      </c>
      <c r="S54" s="326">
        <f>SUM(G54:R56)</f>
        <v>24</v>
      </c>
      <c r="T54" s="313" t="s">
        <v>27</v>
      </c>
    </row>
    <row r="55" spans="1:20" ht="15.75" x14ac:dyDescent="0.25">
      <c r="A55" s="71"/>
      <c r="B55" s="70" t="s">
        <v>310</v>
      </c>
      <c r="C55" s="554"/>
      <c r="D55" s="70"/>
      <c r="E55" s="98"/>
      <c r="F55" s="98"/>
      <c r="G55" s="86"/>
      <c r="H55" s="86"/>
      <c r="I55" s="86"/>
      <c r="J55" s="264"/>
      <c r="K55" s="265"/>
      <c r="L55" s="264"/>
      <c r="M55" s="264"/>
      <c r="N55" s="413"/>
      <c r="O55" s="265"/>
      <c r="P55" s="264"/>
      <c r="Q55" s="264"/>
      <c r="R55" s="264"/>
      <c r="S55" s="327"/>
      <c r="T55" s="314" t="s">
        <v>52</v>
      </c>
    </row>
    <row r="56" spans="1:20" ht="15.75" x14ac:dyDescent="0.25">
      <c r="A56" s="71"/>
      <c r="B56" s="75"/>
      <c r="C56" s="75"/>
      <c r="D56" s="75"/>
      <c r="E56" s="107"/>
      <c r="F56" s="107"/>
      <c r="G56" s="83"/>
      <c r="H56" s="83"/>
      <c r="I56" s="83"/>
      <c r="J56" s="83"/>
      <c r="K56" s="94"/>
      <c r="L56" s="83"/>
      <c r="M56" s="83"/>
      <c r="N56" s="412"/>
      <c r="O56" s="94"/>
      <c r="P56" s="83"/>
      <c r="Q56" s="83"/>
      <c r="R56" s="83"/>
      <c r="S56" s="319"/>
      <c r="T56" s="302" t="s">
        <v>190</v>
      </c>
    </row>
    <row r="57" spans="1:20" ht="15.6" customHeight="1" x14ac:dyDescent="0.25">
      <c r="A57" s="24" t="s">
        <v>53</v>
      </c>
      <c r="B57" s="91" t="s">
        <v>76</v>
      </c>
      <c r="C57" s="70" t="s">
        <v>199</v>
      </c>
      <c r="D57" s="21" t="s">
        <v>23</v>
      </c>
      <c r="E57" s="259" t="s">
        <v>39</v>
      </c>
      <c r="F57" s="259" t="s">
        <v>39</v>
      </c>
      <c r="G57" s="21">
        <v>3</v>
      </c>
      <c r="H57" s="21">
        <v>3</v>
      </c>
      <c r="I57" s="21">
        <v>3</v>
      </c>
      <c r="J57" s="260">
        <v>3</v>
      </c>
      <c r="K57" s="47"/>
      <c r="L57" s="21"/>
      <c r="M57" s="21"/>
      <c r="N57" s="21"/>
      <c r="O57" s="47">
        <v>3</v>
      </c>
      <c r="P57" s="21">
        <v>3</v>
      </c>
      <c r="Q57" s="21">
        <v>3</v>
      </c>
      <c r="R57" s="21">
        <v>3</v>
      </c>
      <c r="S57" s="320">
        <f>SUM(G57:R59)</f>
        <v>24</v>
      </c>
      <c r="T57" s="303" t="s">
        <v>27</v>
      </c>
    </row>
    <row r="58" spans="1:20" ht="15.75" x14ac:dyDescent="0.25">
      <c r="A58" s="71"/>
      <c r="B58" s="121" t="s">
        <v>192</v>
      </c>
      <c r="C58" s="70" t="s">
        <v>295</v>
      </c>
      <c r="D58" s="21"/>
      <c r="E58" s="96"/>
      <c r="F58" s="96"/>
      <c r="G58" s="64"/>
      <c r="H58" s="64"/>
      <c r="I58" s="64"/>
      <c r="J58" s="64"/>
      <c r="K58" s="63"/>
      <c r="L58" s="64"/>
      <c r="M58" s="64"/>
      <c r="N58" s="64"/>
      <c r="O58" s="63"/>
      <c r="P58" s="64"/>
      <c r="Q58" s="64"/>
      <c r="R58" s="64"/>
      <c r="S58" s="320"/>
      <c r="T58" s="298" t="s">
        <v>64</v>
      </c>
    </row>
    <row r="59" spans="1:20" ht="15.75" x14ac:dyDescent="0.25">
      <c r="A59" s="76"/>
      <c r="B59" s="75"/>
      <c r="C59" s="75"/>
      <c r="D59" s="75"/>
      <c r="E59" s="77"/>
      <c r="F59" s="77"/>
      <c r="G59" s="56"/>
      <c r="H59" s="56"/>
      <c r="I59" s="56"/>
      <c r="J59" s="56"/>
      <c r="K59" s="55"/>
      <c r="L59" s="56"/>
      <c r="M59" s="56"/>
      <c r="N59" s="56"/>
      <c r="O59" s="55"/>
      <c r="P59" s="56"/>
      <c r="Q59" s="56"/>
      <c r="R59" s="56"/>
      <c r="S59" s="323"/>
      <c r="T59" s="299"/>
    </row>
    <row r="60" spans="1:20" ht="15.75" x14ac:dyDescent="0.25">
      <c r="A60" s="71" t="s">
        <v>54</v>
      </c>
      <c r="B60" s="78" t="s">
        <v>77</v>
      </c>
      <c r="C60" s="560" t="s">
        <v>351</v>
      </c>
      <c r="D60" s="48" t="s">
        <v>23</v>
      </c>
      <c r="E60" s="79" t="s">
        <v>78</v>
      </c>
      <c r="F60" s="79" t="s">
        <v>78</v>
      </c>
      <c r="G60" s="38"/>
      <c r="H60" s="38"/>
      <c r="I60" s="38"/>
      <c r="J60" s="38"/>
      <c r="K60" s="37"/>
      <c r="L60" s="38"/>
      <c r="M60" s="38"/>
      <c r="N60" s="38"/>
      <c r="O60" s="37"/>
      <c r="P60" s="38"/>
      <c r="Q60" s="38"/>
      <c r="R60" s="38"/>
      <c r="S60" s="321">
        <f>SUM(G60:R62)</f>
        <v>24</v>
      </c>
      <c r="T60" s="301" t="s">
        <v>190</v>
      </c>
    </row>
    <row r="61" spans="1:20" ht="15.75" x14ac:dyDescent="0.25">
      <c r="A61" s="71"/>
      <c r="B61" s="121" t="s">
        <v>193</v>
      </c>
      <c r="C61" s="561"/>
      <c r="D61" s="21"/>
      <c r="E61" s="70"/>
      <c r="F61" s="112" t="s">
        <v>43</v>
      </c>
      <c r="G61" s="381"/>
      <c r="H61" s="381"/>
      <c r="I61" s="381"/>
      <c r="J61" s="381"/>
      <c r="K61" s="381">
        <v>3</v>
      </c>
      <c r="L61" s="381">
        <v>3</v>
      </c>
      <c r="M61" s="381">
        <v>3</v>
      </c>
      <c r="N61" s="381">
        <v>3</v>
      </c>
      <c r="O61" s="381">
        <v>3</v>
      </c>
      <c r="P61" s="381">
        <v>3</v>
      </c>
      <c r="Q61" s="381">
        <v>3</v>
      </c>
      <c r="R61" s="395">
        <v>3</v>
      </c>
      <c r="S61" s="320"/>
      <c r="T61" s="298" t="s">
        <v>27</v>
      </c>
    </row>
    <row r="62" spans="1:20" ht="15.75" x14ac:dyDescent="0.25">
      <c r="A62" s="76"/>
      <c r="B62" s="75"/>
      <c r="C62" s="75"/>
      <c r="D62" s="75"/>
      <c r="E62" s="77"/>
      <c r="F62" s="77" t="s">
        <v>257</v>
      </c>
      <c r="G62" s="56"/>
      <c r="H62" s="56"/>
      <c r="I62" s="56"/>
      <c r="J62" s="56"/>
      <c r="K62" s="55"/>
      <c r="L62" s="56"/>
      <c r="M62" s="56"/>
      <c r="N62" s="56"/>
      <c r="O62" s="55"/>
      <c r="P62" s="56"/>
      <c r="Q62" s="56"/>
      <c r="R62" s="56"/>
      <c r="S62" s="323"/>
      <c r="T62" s="302" t="s">
        <v>66</v>
      </c>
    </row>
    <row r="63" spans="1:20" ht="15.6" customHeight="1" x14ac:dyDescent="0.25">
      <c r="A63" s="24" t="s">
        <v>55</v>
      </c>
      <c r="B63" s="78" t="s">
        <v>372</v>
      </c>
      <c r="C63" s="560" t="s">
        <v>351</v>
      </c>
      <c r="D63" s="48" t="s">
        <v>23</v>
      </c>
      <c r="E63" s="23" t="s">
        <v>78</v>
      </c>
      <c r="F63" s="23" t="s">
        <v>78</v>
      </c>
      <c r="G63" s="48"/>
      <c r="H63" s="48"/>
      <c r="I63" s="48"/>
      <c r="J63" s="48"/>
      <c r="K63" s="40"/>
      <c r="L63" s="48"/>
      <c r="M63" s="48">
        <v>4</v>
      </c>
      <c r="N63" s="48">
        <v>4</v>
      </c>
      <c r="O63" s="40">
        <v>4</v>
      </c>
      <c r="P63" s="48">
        <v>4</v>
      </c>
      <c r="Q63" s="48">
        <v>4</v>
      </c>
      <c r="R63" s="48">
        <v>4</v>
      </c>
      <c r="S63" s="321">
        <f>SUM(G63:R65)</f>
        <v>24</v>
      </c>
      <c r="T63" s="539" t="s">
        <v>355</v>
      </c>
    </row>
    <row r="64" spans="1:20" ht="15.75" x14ac:dyDescent="0.25">
      <c r="A64" s="71"/>
      <c r="B64" s="121" t="s">
        <v>194</v>
      </c>
      <c r="C64" s="561"/>
      <c r="D64" s="21"/>
      <c r="E64" s="82"/>
      <c r="F64" s="82"/>
      <c r="G64" s="58"/>
      <c r="H64" s="58"/>
      <c r="I64" s="58"/>
      <c r="J64" s="58"/>
      <c r="K64" s="80"/>
      <c r="L64" s="58"/>
      <c r="M64" s="58"/>
      <c r="N64" s="58"/>
      <c r="O64" s="155"/>
      <c r="P64" s="85"/>
      <c r="Q64" s="85"/>
      <c r="R64" s="85"/>
      <c r="S64" s="325"/>
      <c r="T64" s="540"/>
    </row>
    <row r="65" spans="1:20" ht="15.75" x14ac:dyDescent="0.25">
      <c r="A65" s="76"/>
      <c r="B65" s="75"/>
      <c r="C65" s="75"/>
      <c r="D65" s="75"/>
      <c r="E65" s="107"/>
      <c r="F65" s="75"/>
      <c r="G65" s="52"/>
      <c r="H65" s="52"/>
      <c r="I65" s="52"/>
      <c r="J65" s="52"/>
      <c r="K65" s="53"/>
      <c r="L65" s="52"/>
      <c r="M65" s="52"/>
      <c r="N65" s="52"/>
      <c r="O65" s="53"/>
      <c r="P65" s="52"/>
      <c r="Q65" s="52"/>
      <c r="R65" s="52"/>
      <c r="S65" s="323"/>
      <c r="T65" s="302"/>
    </row>
    <row r="66" spans="1:20" ht="15.75" x14ac:dyDescent="0.25">
      <c r="A66" s="89"/>
      <c r="B66" s="186"/>
      <c r="C66" s="88"/>
      <c r="D66" s="90"/>
      <c r="E66" s="151"/>
      <c r="F66" s="151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331"/>
    </row>
    <row r="67" spans="1:20" ht="9.6" customHeight="1" x14ac:dyDescent="0.25">
      <c r="A67" s="149"/>
      <c r="B67" s="67"/>
      <c r="C67" s="67"/>
      <c r="D67" s="67"/>
      <c r="E67" s="67"/>
      <c r="F67" s="67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</row>
    <row r="68" spans="1:20" ht="15.75" x14ac:dyDescent="0.25">
      <c r="A68" s="543" t="s">
        <v>2</v>
      </c>
      <c r="B68" s="506" t="s">
        <v>3</v>
      </c>
      <c r="C68" s="69" t="s">
        <v>4</v>
      </c>
      <c r="D68" s="69" t="s">
        <v>5</v>
      </c>
      <c r="E68" s="69" t="s">
        <v>205</v>
      </c>
      <c r="F68" s="69" t="s">
        <v>6</v>
      </c>
      <c r="G68" s="506" t="s">
        <v>7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65"/>
      <c r="T68" s="538" t="s">
        <v>40</v>
      </c>
    </row>
    <row r="69" spans="1:20" ht="15.75" x14ac:dyDescent="0.25">
      <c r="A69" s="544"/>
      <c r="B69" s="506"/>
      <c r="C69" s="546" t="s">
        <v>9</v>
      </c>
      <c r="D69" s="546" t="s">
        <v>10</v>
      </c>
      <c r="E69" s="398" t="s">
        <v>206</v>
      </c>
      <c r="F69" s="398" t="s">
        <v>11</v>
      </c>
      <c r="G69" s="508" t="s">
        <v>12</v>
      </c>
      <c r="H69" s="558"/>
      <c r="I69" s="558"/>
      <c r="J69" s="558"/>
      <c r="K69" s="557" t="s">
        <v>13</v>
      </c>
      <c r="L69" s="558"/>
      <c r="M69" s="558"/>
      <c r="N69" s="558"/>
      <c r="O69" s="557" t="s">
        <v>14</v>
      </c>
      <c r="P69" s="558"/>
      <c r="Q69" s="558"/>
      <c r="R69" s="558"/>
      <c r="S69" s="559" t="s">
        <v>15</v>
      </c>
      <c r="T69" s="538"/>
    </row>
    <row r="70" spans="1:20" ht="15.6" customHeight="1" x14ac:dyDescent="0.25">
      <c r="A70" s="545"/>
      <c r="B70" s="506"/>
      <c r="C70" s="547"/>
      <c r="D70" s="547"/>
      <c r="E70" s="399" t="s">
        <v>200</v>
      </c>
      <c r="F70" s="399" t="s">
        <v>16</v>
      </c>
      <c r="G70" s="396" t="s">
        <v>17</v>
      </c>
      <c r="H70" s="396" t="s">
        <v>18</v>
      </c>
      <c r="I70" s="396" t="s">
        <v>19</v>
      </c>
      <c r="J70" s="396" t="s">
        <v>20</v>
      </c>
      <c r="K70" s="397" t="s">
        <v>17</v>
      </c>
      <c r="L70" s="396" t="s">
        <v>18</v>
      </c>
      <c r="M70" s="396" t="s">
        <v>19</v>
      </c>
      <c r="N70" s="396" t="s">
        <v>20</v>
      </c>
      <c r="O70" s="397" t="s">
        <v>17</v>
      </c>
      <c r="P70" s="396" t="s">
        <v>18</v>
      </c>
      <c r="Q70" s="396" t="s">
        <v>19</v>
      </c>
      <c r="R70" s="396" t="s">
        <v>20</v>
      </c>
      <c r="S70" s="559"/>
      <c r="T70" s="538"/>
    </row>
    <row r="71" spans="1:20" ht="17.45" customHeight="1" x14ac:dyDescent="0.25">
      <c r="A71" s="24" t="s">
        <v>57</v>
      </c>
      <c r="B71" s="78" t="s">
        <v>259</v>
      </c>
      <c r="C71" s="560" t="s">
        <v>351</v>
      </c>
      <c r="D71" s="23" t="s">
        <v>23</v>
      </c>
      <c r="E71" s="108" t="s">
        <v>29</v>
      </c>
      <c r="F71" s="23" t="s">
        <v>29</v>
      </c>
      <c r="G71" s="48">
        <v>4</v>
      </c>
      <c r="H71" s="48">
        <v>4</v>
      </c>
      <c r="I71" s="48"/>
      <c r="J71" s="48"/>
      <c r="K71" s="40"/>
      <c r="L71" s="48"/>
      <c r="M71" s="48"/>
      <c r="N71" s="48"/>
      <c r="O71" s="40">
        <v>4</v>
      </c>
      <c r="P71" s="48">
        <v>4</v>
      </c>
      <c r="Q71" s="48">
        <v>4</v>
      </c>
      <c r="R71" s="48">
        <v>4</v>
      </c>
      <c r="S71" s="321">
        <f>SUM(G71:R73)</f>
        <v>24</v>
      </c>
      <c r="T71" s="300" t="s">
        <v>27</v>
      </c>
    </row>
    <row r="72" spans="1:20" ht="15.75" x14ac:dyDescent="0.25">
      <c r="A72" s="71"/>
      <c r="B72" s="70" t="s">
        <v>264</v>
      </c>
      <c r="C72" s="561"/>
      <c r="D72" s="70"/>
      <c r="E72" s="98"/>
      <c r="F72" s="73"/>
      <c r="G72" s="44"/>
      <c r="H72" s="44"/>
      <c r="I72" s="44"/>
      <c r="J72" s="44"/>
      <c r="K72" s="45"/>
      <c r="L72" s="44"/>
      <c r="M72" s="44"/>
      <c r="N72" s="44"/>
      <c r="O72" s="45"/>
      <c r="P72" s="44"/>
      <c r="Q72" s="44"/>
      <c r="R72" s="44"/>
      <c r="S72" s="320"/>
      <c r="T72" s="401" t="s">
        <v>73</v>
      </c>
    </row>
    <row r="73" spans="1:20" ht="15.6" customHeight="1" x14ac:dyDescent="0.25">
      <c r="A73" s="71"/>
      <c r="B73" s="75"/>
      <c r="C73" s="75"/>
      <c r="D73" s="75"/>
      <c r="E73" s="107"/>
      <c r="F73" s="75"/>
      <c r="G73" s="52"/>
      <c r="H73" s="52"/>
      <c r="I73" s="52"/>
      <c r="J73" s="52"/>
      <c r="K73" s="53"/>
      <c r="L73" s="52"/>
      <c r="M73" s="52"/>
      <c r="N73" s="52"/>
      <c r="O73" s="53"/>
      <c r="P73" s="52"/>
      <c r="Q73" s="52"/>
      <c r="R73" s="52"/>
      <c r="S73" s="323"/>
      <c r="T73" s="316" t="s">
        <v>190</v>
      </c>
    </row>
    <row r="74" spans="1:20" ht="15.6" customHeight="1" x14ac:dyDescent="0.25">
      <c r="A74" s="24" t="s">
        <v>58</v>
      </c>
      <c r="B74" s="78" t="s">
        <v>323</v>
      </c>
      <c r="C74" s="560" t="s">
        <v>351</v>
      </c>
      <c r="D74" s="23" t="s">
        <v>23</v>
      </c>
      <c r="E74" s="108" t="s">
        <v>26</v>
      </c>
      <c r="F74" t="s">
        <v>26</v>
      </c>
      <c r="G74" s="410">
        <v>5</v>
      </c>
      <c r="H74" s="410">
        <v>5</v>
      </c>
      <c r="I74" s="410">
        <v>5</v>
      </c>
      <c r="J74" s="416">
        <v>5</v>
      </c>
      <c r="K74" s="40"/>
      <c r="L74" s="48"/>
      <c r="M74" s="48"/>
      <c r="N74" s="48"/>
      <c r="O74" s="40"/>
      <c r="P74" s="48"/>
      <c r="Q74" s="48"/>
      <c r="R74" s="48"/>
      <c r="S74" s="321">
        <f>SUM(G74:R76)</f>
        <v>25</v>
      </c>
      <c r="T74" s="300" t="s">
        <v>27</v>
      </c>
    </row>
    <row r="75" spans="1:20" ht="15.75" x14ac:dyDescent="0.25">
      <c r="A75" s="71"/>
      <c r="B75" s="70" t="s">
        <v>324</v>
      </c>
      <c r="C75" s="561"/>
      <c r="D75" s="70"/>
      <c r="E75" s="98"/>
      <c r="F75" s="98" t="s">
        <v>37</v>
      </c>
      <c r="G75" s="86"/>
      <c r="H75" s="86"/>
      <c r="I75" s="86"/>
      <c r="J75" s="86"/>
      <c r="K75" s="344"/>
      <c r="L75" s="86">
        <v>5</v>
      </c>
      <c r="M75" s="86"/>
      <c r="N75" s="86"/>
      <c r="O75" s="344"/>
      <c r="P75" s="86"/>
      <c r="Q75" s="86"/>
      <c r="R75" s="86"/>
      <c r="S75" s="320"/>
      <c r="T75" s="315" t="s">
        <v>56</v>
      </c>
    </row>
    <row r="76" spans="1:20" ht="15.6" customHeight="1" x14ac:dyDescent="0.25">
      <c r="A76" s="76"/>
      <c r="B76" s="75"/>
      <c r="C76" s="75"/>
      <c r="D76" s="75"/>
      <c r="E76" s="107"/>
      <c r="F76" s="75"/>
      <c r="G76" s="52"/>
      <c r="H76" s="52"/>
      <c r="I76" s="52"/>
      <c r="J76" s="52"/>
      <c r="K76" s="53"/>
      <c r="L76" s="52"/>
      <c r="M76" s="52"/>
      <c r="N76" s="52"/>
      <c r="O76" s="53"/>
      <c r="P76" s="52"/>
      <c r="Q76" s="52"/>
      <c r="R76" s="52"/>
      <c r="S76" s="323"/>
      <c r="T76" s="316"/>
    </row>
    <row r="77" spans="1:20" ht="15.6" customHeight="1" x14ac:dyDescent="0.25">
      <c r="A77" s="24" t="s">
        <v>60</v>
      </c>
      <c r="B77" s="78" t="s">
        <v>79</v>
      </c>
      <c r="C77" s="402" t="s">
        <v>421</v>
      </c>
      <c r="D77" s="48" t="s">
        <v>23</v>
      </c>
      <c r="E77" s="81" t="s">
        <v>80</v>
      </c>
      <c r="F77" s="97" t="s">
        <v>80</v>
      </c>
      <c r="G77" s="191"/>
      <c r="H77" s="190"/>
      <c r="I77" s="190"/>
      <c r="J77" s="190"/>
      <c r="K77" s="191"/>
      <c r="L77" s="190"/>
      <c r="M77" s="190"/>
      <c r="N77" s="190"/>
      <c r="O77" s="191"/>
      <c r="P77" s="190"/>
      <c r="Q77" s="190"/>
      <c r="R77" s="190"/>
      <c r="S77" s="325">
        <v>24</v>
      </c>
      <c r="T77" s="300"/>
    </row>
    <row r="78" spans="1:20" ht="15.75" x14ac:dyDescent="0.25">
      <c r="A78" s="71"/>
      <c r="B78" s="297" t="s">
        <v>336</v>
      </c>
      <c r="C78" s="403"/>
      <c r="D78" s="70"/>
      <c r="E78" s="130"/>
      <c r="F78" s="96"/>
      <c r="G78" s="64"/>
      <c r="H78" s="64"/>
      <c r="I78" s="64"/>
      <c r="J78" s="64"/>
      <c r="K78" s="63"/>
      <c r="L78" s="64"/>
      <c r="M78" s="64"/>
      <c r="N78" s="64"/>
      <c r="O78" s="63"/>
      <c r="P78" s="64"/>
      <c r="Q78" s="64"/>
      <c r="R78" s="64"/>
      <c r="S78" s="320"/>
      <c r="T78" s="53"/>
    </row>
    <row r="79" spans="1:20" ht="15.6" customHeight="1" x14ac:dyDescent="0.25">
      <c r="A79" s="569" t="s">
        <v>61</v>
      </c>
      <c r="B79" s="78" t="s">
        <v>400</v>
      </c>
      <c r="C79" s="402" t="s">
        <v>421</v>
      </c>
      <c r="D79" s="48" t="s">
        <v>23</v>
      </c>
      <c r="E79" s="79" t="s">
        <v>177</v>
      </c>
      <c r="F79" s="23" t="s">
        <v>173</v>
      </c>
      <c r="G79" s="48">
        <v>1</v>
      </c>
      <c r="H79" s="48">
        <v>1</v>
      </c>
      <c r="I79" s="48">
        <v>1</v>
      </c>
      <c r="J79" s="48">
        <v>1</v>
      </c>
      <c r="K79" s="40"/>
      <c r="L79" s="48"/>
      <c r="M79" s="48"/>
      <c r="N79" s="48"/>
      <c r="O79" s="40">
        <v>1</v>
      </c>
      <c r="P79" s="48">
        <v>1</v>
      </c>
      <c r="Q79" s="48">
        <v>1</v>
      </c>
      <c r="R79" s="400">
        <v>1</v>
      </c>
      <c r="S79" s="321">
        <f>SUM(G79:R81)</f>
        <v>20</v>
      </c>
      <c r="T79" s="298" t="s">
        <v>27</v>
      </c>
    </row>
    <row r="80" spans="1:20" ht="15.75" x14ac:dyDescent="0.25">
      <c r="A80" s="570"/>
      <c r="B80" s="70" t="s">
        <v>402</v>
      </c>
      <c r="C80" s="403"/>
      <c r="D80" s="21"/>
      <c r="E80" s="130"/>
      <c r="F80" s="70" t="s">
        <v>222</v>
      </c>
      <c r="G80" s="21">
        <v>3</v>
      </c>
      <c r="H80" s="21">
        <v>3</v>
      </c>
      <c r="I80" s="21">
        <v>3</v>
      </c>
      <c r="J80" s="21">
        <v>3</v>
      </c>
      <c r="K80" s="63"/>
      <c r="L80" s="64"/>
      <c r="M80" s="64"/>
      <c r="N80" s="64"/>
      <c r="O80" s="63"/>
      <c r="P80" s="64"/>
      <c r="Q80" s="64"/>
      <c r="R80" s="64"/>
      <c r="S80" s="320"/>
      <c r="T80" s="298" t="s">
        <v>44</v>
      </c>
    </row>
    <row r="81" spans="1:20" ht="15.75" x14ac:dyDescent="0.25">
      <c r="A81" s="71"/>
      <c r="B81" s="70"/>
      <c r="C81" s="70"/>
      <c r="D81" s="70"/>
      <c r="E81" s="130"/>
      <c r="F81" s="70"/>
      <c r="G81" s="21"/>
      <c r="H81" s="21"/>
      <c r="I81" s="21"/>
      <c r="J81" s="21"/>
      <c r="K81" s="63"/>
      <c r="L81" s="64"/>
      <c r="M81" s="64"/>
      <c r="N81" s="64"/>
      <c r="O81" s="63"/>
      <c r="P81" s="64"/>
      <c r="Q81" s="64"/>
      <c r="R81" s="64"/>
      <c r="S81" s="320"/>
      <c r="T81" s="298" t="s">
        <v>190</v>
      </c>
    </row>
    <row r="82" spans="1:20" ht="15.6" customHeight="1" x14ac:dyDescent="0.25">
      <c r="A82" s="24" t="s">
        <v>65</v>
      </c>
      <c r="B82" s="342" t="s">
        <v>414</v>
      </c>
      <c r="C82" s="402" t="s">
        <v>421</v>
      </c>
      <c r="D82" s="23" t="s">
        <v>23</v>
      </c>
      <c r="E82" s="108" t="s">
        <v>29</v>
      </c>
      <c r="F82" s="79" t="s">
        <v>29</v>
      </c>
      <c r="G82" s="38"/>
      <c r="H82" s="38"/>
      <c r="I82" s="38">
        <v>4</v>
      </c>
      <c r="J82" s="38">
        <v>4</v>
      </c>
      <c r="K82" s="37">
        <v>4</v>
      </c>
      <c r="L82" s="38">
        <v>4</v>
      </c>
      <c r="M82" s="38">
        <v>4</v>
      </c>
      <c r="N82" s="38">
        <v>4</v>
      </c>
      <c r="O82" s="40"/>
      <c r="P82" s="48"/>
      <c r="Q82" s="48"/>
      <c r="R82" s="48"/>
      <c r="S82" s="321">
        <f>SUM(G82:R84)</f>
        <v>24</v>
      </c>
      <c r="T82" s="40" t="s">
        <v>27</v>
      </c>
    </row>
    <row r="83" spans="1:20" ht="15.75" x14ac:dyDescent="0.25">
      <c r="A83" s="71"/>
      <c r="B83" s="297" t="s">
        <v>403</v>
      </c>
      <c r="C83" s="403"/>
      <c r="D83" s="70"/>
      <c r="E83" s="98"/>
      <c r="F83" s="345"/>
      <c r="H83" s="411"/>
      <c r="I83" s="411"/>
      <c r="K83" s="47"/>
      <c r="L83" s="21"/>
      <c r="M83" s="21"/>
      <c r="N83" s="21"/>
      <c r="O83" s="47"/>
      <c r="P83" s="21"/>
      <c r="Q83" s="21"/>
      <c r="R83" s="21"/>
      <c r="S83" s="320"/>
      <c r="T83" s="47" t="s">
        <v>70</v>
      </c>
    </row>
    <row r="84" spans="1:20" ht="15.75" x14ac:dyDescent="0.25">
      <c r="A84" s="71"/>
      <c r="B84" s="227"/>
      <c r="C84" s="404"/>
      <c r="D84" s="75"/>
      <c r="E84" s="107"/>
      <c r="F84" s="75"/>
      <c r="G84" s="52"/>
      <c r="H84" s="52"/>
      <c r="I84" s="52"/>
      <c r="J84" s="52"/>
      <c r="K84" s="53"/>
      <c r="L84" s="52"/>
      <c r="M84" s="52"/>
      <c r="N84" s="52"/>
      <c r="O84" s="53"/>
      <c r="P84" s="52"/>
      <c r="Q84" s="52"/>
      <c r="R84" s="52"/>
      <c r="S84" s="323"/>
      <c r="T84" s="53"/>
    </row>
    <row r="85" spans="1:20" ht="15.75" x14ac:dyDescent="0.25">
      <c r="A85" s="24" t="s">
        <v>67</v>
      </c>
      <c r="B85" s="343" t="s">
        <v>477</v>
      </c>
      <c r="C85" s="402" t="s">
        <v>421</v>
      </c>
      <c r="D85" s="70" t="s">
        <v>23</v>
      </c>
      <c r="E85" s="98" t="s">
        <v>326</v>
      </c>
      <c r="F85" s="23" t="s">
        <v>326</v>
      </c>
      <c r="G85" s="48">
        <v>3</v>
      </c>
      <c r="H85" s="48">
        <v>3</v>
      </c>
      <c r="I85" s="48">
        <v>3</v>
      </c>
      <c r="J85" s="48">
        <v>3</v>
      </c>
      <c r="K85" s="47"/>
      <c r="L85" s="21"/>
      <c r="M85" s="21"/>
      <c r="N85" s="21"/>
      <c r="O85" s="47"/>
      <c r="P85" s="21"/>
      <c r="Q85" s="21"/>
      <c r="R85" s="21"/>
      <c r="S85" s="320">
        <f>SUM(G85:R86)</f>
        <v>17</v>
      </c>
      <c r="T85" s="47" t="s">
        <v>27</v>
      </c>
    </row>
    <row r="86" spans="1:20" ht="15.75" x14ac:dyDescent="0.25">
      <c r="A86" s="71"/>
      <c r="B86" s="297" t="s">
        <v>405</v>
      </c>
      <c r="C86" s="403"/>
      <c r="D86" s="70"/>
      <c r="E86" s="98"/>
      <c r="F86" s="70" t="s">
        <v>37</v>
      </c>
      <c r="G86" s="21"/>
      <c r="H86" s="21"/>
      <c r="I86" s="21"/>
      <c r="J86" s="21"/>
      <c r="K86" s="47"/>
      <c r="L86" s="21"/>
      <c r="M86" s="21">
        <v>5</v>
      </c>
      <c r="N86" s="21"/>
      <c r="O86" s="47"/>
      <c r="P86" s="21"/>
      <c r="Q86" s="21"/>
      <c r="R86" s="21"/>
      <c r="S86" s="320"/>
      <c r="T86" s="47" t="s">
        <v>74</v>
      </c>
    </row>
    <row r="87" spans="1:20" ht="15.75" x14ac:dyDescent="0.25">
      <c r="A87" s="24" t="s">
        <v>68</v>
      </c>
      <c r="B87" s="342" t="s">
        <v>415</v>
      </c>
      <c r="C87" s="402" t="s">
        <v>421</v>
      </c>
      <c r="D87" s="23" t="s">
        <v>23</v>
      </c>
      <c r="E87" s="108" t="s">
        <v>43</v>
      </c>
      <c r="F87" s="81" t="s">
        <v>43</v>
      </c>
      <c r="G87" s="102"/>
      <c r="H87" s="102"/>
      <c r="I87" s="102"/>
      <c r="J87" s="102"/>
      <c r="K87" s="43"/>
      <c r="L87" s="102"/>
      <c r="M87" s="102"/>
      <c r="N87" s="102"/>
      <c r="O87" s="43"/>
      <c r="P87" s="102"/>
      <c r="Q87" s="102"/>
      <c r="R87" s="380"/>
      <c r="S87" s="321">
        <f>SUM(G87:R89)</f>
        <v>20</v>
      </c>
      <c r="T87" s="40" t="s">
        <v>27</v>
      </c>
    </row>
    <row r="88" spans="1:20" ht="15.75" x14ac:dyDescent="0.25">
      <c r="A88" s="71"/>
      <c r="B88" s="297" t="s">
        <v>407</v>
      </c>
      <c r="C88" s="403"/>
      <c r="D88" s="70"/>
      <c r="E88" s="341" t="s">
        <v>399</v>
      </c>
      <c r="F88" s="70" t="s">
        <v>257</v>
      </c>
      <c r="G88" s="21">
        <v>2</v>
      </c>
      <c r="H88" s="21">
        <v>2</v>
      </c>
      <c r="I88" s="21">
        <v>2</v>
      </c>
      <c r="J88" s="21">
        <v>2</v>
      </c>
      <c r="K88" s="47"/>
      <c r="L88" s="21"/>
      <c r="M88" s="21">
        <v>2</v>
      </c>
      <c r="N88" s="21">
        <v>2</v>
      </c>
      <c r="O88" s="47">
        <v>2</v>
      </c>
      <c r="P88" s="21">
        <v>2</v>
      </c>
      <c r="Q88" s="21">
        <v>2</v>
      </c>
      <c r="R88" s="21">
        <v>2</v>
      </c>
      <c r="S88" s="320"/>
      <c r="T88" s="298" t="s">
        <v>30</v>
      </c>
    </row>
    <row r="89" spans="1:20" ht="15.75" x14ac:dyDescent="0.25">
      <c r="A89" s="71"/>
      <c r="B89" s="227"/>
      <c r="C89" s="404"/>
      <c r="D89" s="75"/>
      <c r="E89" s="107"/>
      <c r="F89" s="75"/>
      <c r="G89" s="52"/>
      <c r="H89" s="52"/>
      <c r="I89" s="52"/>
      <c r="J89" s="52"/>
      <c r="K89" s="94"/>
      <c r="L89" s="83"/>
      <c r="M89" s="83"/>
      <c r="N89" s="83"/>
      <c r="O89" s="53"/>
      <c r="P89" s="52"/>
      <c r="Q89" s="52"/>
      <c r="R89" s="52"/>
      <c r="S89" s="323"/>
      <c r="T89" s="299" t="s">
        <v>190</v>
      </c>
    </row>
    <row r="90" spans="1:20" ht="15.75" x14ac:dyDescent="0.25">
      <c r="A90" s="24" t="s">
        <v>356</v>
      </c>
      <c r="B90" s="343" t="s">
        <v>81</v>
      </c>
      <c r="C90" s="415"/>
      <c r="D90" s="70" t="s">
        <v>478</v>
      </c>
      <c r="E90" s="98" t="s">
        <v>26</v>
      </c>
      <c r="F90" s="70" t="s">
        <v>257</v>
      </c>
      <c r="G90" s="21"/>
      <c r="H90" s="21"/>
      <c r="I90" s="21"/>
      <c r="J90" s="21"/>
      <c r="K90" s="344">
        <v>2</v>
      </c>
      <c r="L90" s="86">
        <v>2</v>
      </c>
      <c r="M90" s="86"/>
      <c r="N90" s="86"/>
      <c r="O90" s="47"/>
      <c r="P90" s="21"/>
      <c r="Q90" s="21"/>
      <c r="R90" s="21"/>
      <c r="S90" s="320"/>
      <c r="T90" s="298"/>
    </row>
    <row r="91" spans="1:20" ht="15.75" x14ac:dyDescent="0.25">
      <c r="A91" s="71"/>
      <c r="B91" s="297"/>
      <c r="C91" s="415"/>
      <c r="D91" s="70"/>
      <c r="E91" s="98"/>
      <c r="F91" s="70"/>
      <c r="G91" s="21"/>
      <c r="H91" s="21"/>
      <c r="I91" s="21"/>
      <c r="J91" s="21"/>
      <c r="K91" s="344"/>
      <c r="L91" s="86"/>
      <c r="M91" s="86"/>
      <c r="N91" s="86"/>
      <c r="O91" s="47"/>
      <c r="P91" s="21"/>
      <c r="Q91" s="21"/>
      <c r="R91" s="21"/>
      <c r="S91" s="320"/>
      <c r="T91" s="298"/>
    </row>
    <row r="92" spans="1:20" ht="15.75" x14ac:dyDescent="0.25">
      <c r="A92" s="24" t="s">
        <v>72</v>
      </c>
      <c r="B92" s="78" t="s">
        <v>260</v>
      </c>
      <c r="C92" s="23"/>
      <c r="D92" s="23" t="s">
        <v>23</v>
      </c>
      <c r="E92" s="108" t="s">
        <v>39</v>
      </c>
      <c r="F92" s="23" t="s">
        <v>39</v>
      </c>
      <c r="G92" s="48"/>
      <c r="H92" s="48"/>
      <c r="I92" s="48"/>
      <c r="J92" s="48"/>
      <c r="K92" s="40">
        <v>3</v>
      </c>
      <c r="L92" s="48">
        <v>3</v>
      </c>
      <c r="M92" s="48">
        <v>3</v>
      </c>
      <c r="N92" s="48">
        <v>3</v>
      </c>
      <c r="O92" s="40"/>
      <c r="P92" s="48"/>
      <c r="Q92" s="48"/>
      <c r="R92" s="48"/>
      <c r="S92" s="321">
        <f>SUM(G92:R93)</f>
        <v>16</v>
      </c>
      <c r="T92" s="300" t="s">
        <v>284</v>
      </c>
    </row>
    <row r="93" spans="1:20" ht="15.75" x14ac:dyDescent="0.25">
      <c r="A93" s="71"/>
      <c r="B93" s="70"/>
      <c r="C93" s="70"/>
      <c r="D93" s="70"/>
      <c r="E93" s="82"/>
      <c r="F93" s="73" t="s">
        <v>173</v>
      </c>
      <c r="G93" s="58"/>
      <c r="H93" s="58"/>
      <c r="I93" s="58"/>
      <c r="J93" s="58"/>
      <c r="K93" s="80">
        <v>1</v>
      </c>
      <c r="L93" s="58">
        <v>1</v>
      </c>
      <c r="M93" s="58">
        <v>1</v>
      </c>
      <c r="N93" s="58">
        <v>1</v>
      </c>
      <c r="O93" s="45"/>
      <c r="P93" s="44"/>
      <c r="Q93" s="44"/>
      <c r="R93" s="44"/>
      <c r="S93" s="320"/>
      <c r="T93" s="298"/>
    </row>
    <row r="94" spans="1:20" ht="15.75" x14ac:dyDescent="0.25">
      <c r="A94" s="566" t="s">
        <v>401</v>
      </c>
      <c r="B94" s="567"/>
      <c r="C94" s="567"/>
      <c r="D94" s="567"/>
      <c r="E94" s="567"/>
      <c r="F94" s="568"/>
      <c r="G94" s="357">
        <f>SUM(G6:G32)+SUM(G39:G65)+SUM(G71:G93)</f>
        <v>41</v>
      </c>
      <c r="H94" s="357">
        <f t="shared" ref="H94:R94" si="0">SUM(H6:H32)+SUM(H39:H65)+SUM(H71:H93)</f>
        <v>41</v>
      </c>
      <c r="I94" s="357">
        <f t="shared" si="0"/>
        <v>41</v>
      </c>
      <c r="J94" s="357">
        <f t="shared" si="0"/>
        <v>41</v>
      </c>
      <c r="K94" s="357">
        <f t="shared" si="0"/>
        <v>43</v>
      </c>
      <c r="L94" s="357">
        <f t="shared" si="0"/>
        <v>43</v>
      </c>
      <c r="M94" s="357">
        <f t="shared" si="0"/>
        <v>43</v>
      </c>
      <c r="N94" s="357">
        <f t="shared" si="0"/>
        <v>43</v>
      </c>
      <c r="O94" s="357">
        <f t="shared" si="0"/>
        <v>43</v>
      </c>
      <c r="P94" s="357">
        <f t="shared" si="0"/>
        <v>43</v>
      </c>
      <c r="Q94" s="357">
        <f t="shared" si="0"/>
        <v>43</v>
      </c>
      <c r="R94" s="357">
        <f t="shared" si="0"/>
        <v>43</v>
      </c>
      <c r="S94" s="357">
        <f t="shared" ref="S94" si="1">SUM(S6:S32)+SUM(S39:S62)+SUM(S63:S89)+SUM(S92:S93)</f>
        <v>528</v>
      </c>
      <c r="T94" s="374"/>
    </row>
    <row r="95" spans="1:20" ht="15.75" x14ac:dyDescent="0.25">
      <c r="A95" s="89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 t="s">
        <v>420</v>
      </c>
      <c r="P95" s="65"/>
      <c r="Q95" s="65"/>
      <c r="R95" s="65"/>
      <c r="S95" s="65"/>
      <c r="T95" s="65"/>
    </row>
    <row r="96" spans="1:20" ht="15.75" x14ac:dyDescent="0.25">
      <c r="A96" s="89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 t="s">
        <v>82</v>
      </c>
      <c r="P96" s="65"/>
      <c r="Q96" s="65"/>
      <c r="R96" s="65"/>
      <c r="S96" s="65"/>
      <c r="T96" s="65"/>
    </row>
    <row r="97" spans="1:20" ht="15.75" x14ac:dyDescent="0.25">
      <c r="A97" s="89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</row>
    <row r="98" spans="1:20" ht="15.75" x14ac:dyDescent="0.25">
      <c r="A98" s="66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101" t="s">
        <v>283</v>
      </c>
      <c r="P98" s="65"/>
      <c r="Q98" s="65"/>
      <c r="R98" s="65"/>
      <c r="S98" s="65"/>
      <c r="T98" s="65"/>
    </row>
    <row r="99" spans="1:20" ht="15.75" x14ac:dyDescent="0.25">
      <c r="A99" s="66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101" t="s">
        <v>277</v>
      </c>
      <c r="P99" s="65"/>
      <c r="Q99" s="65"/>
      <c r="R99" s="65"/>
      <c r="S99" s="65"/>
      <c r="T99" s="65"/>
    </row>
  </sheetData>
  <mergeCells count="52">
    <mergeCell ref="T63:T64"/>
    <mergeCell ref="T68:T70"/>
    <mergeCell ref="C60:C61"/>
    <mergeCell ref="A94:F94"/>
    <mergeCell ref="C63:C64"/>
    <mergeCell ref="A68:A70"/>
    <mergeCell ref="B68:B70"/>
    <mergeCell ref="G68:S68"/>
    <mergeCell ref="C69:C70"/>
    <mergeCell ref="D69:D70"/>
    <mergeCell ref="G69:J69"/>
    <mergeCell ref="K69:N69"/>
    <mergeCell ref="O69:R69"/>
    <mergeCell ref="S69:S70"/>
    <mergeCell ref="A79:A80"/>
    <mergeCell ref="C71:C72"/>
    <mergeCell ref="C74:C75"/>
    <mergeCell ref="A36:A38"/>
    <mergeCell ref="B36:B38"/>
    <mergeCell ref="C37:C38"/>
    <mergeCell ref="D37:D38"/>
    <mergeCell ref="G37:J37"/>
    <mergeCell ref="G36:S36"/>
    <mergeCell ref="O37:R37"/>
    <mergeCell ref="S37:S38"/>
    <mergeCell ref="C54:C55"/>
    <mergeCell ref="K37:N37"/>
    <mergeCell ref="C12:C13"/>
    <mergeCell ref="G3:S3"/>
    <mergeCell ref="T3:T5"/>
    <mergeCell ref="O4:R4"/>
    <mergeCell ref="S4:S5"/>
    <mergeCell ref="G4:J4"/>
    <mergeCell ref="K4:N4"/>
    <mergeCell ref="C6:C8"/>
    <mergeCell ref="C9:C10"/>
    <mergeCell ref="T36:T38"/>
    <mergeCell ref="T51:T52"/>
    <mergeCell ref="A1:A2"/>
    <mergeCell ref="A3:A5"/>
    <mergeCell ref="B3:B5"/>
    <mergeCell ref="C4:C5"/>
    <mergeCell ref="D4:D5"/>
    <mergeCell ref="T18:T19"/>
    <mergeCell ref="T30:T32"/>
    <mergeCell ref="C45:C46"/>
    <mergeCell ref="C48:C49"/>
    <mergeCell ref="C51:C52"/>
    <mergeCell ref="C30:C31"/>
    <mergeCell ref="C39:C40"/>
    <mergeCell ref="C42:C43"/>
    <mergeCell ref="C27:C28"/>
  </mergeCells>
  <pageMargins left="0.7" right="0.39" top="0.63" bottom="0.56999999999999995" header="0.3" footer="0.3"/>
  <pageSetup paperSize="5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"/>
  <sheetViews>
    <sheetView topLeftCell="A75" workbookViewId="0">
      <selection activeCell="I92" sqref="I92"/>
    </sheetView>
  </sheetViews>
  <sheetFormatPr defaultRowHeight="15" x14ac:dyDescent="0.25"/>
  <cols>
    <col min="1" max="1" width="4.85546875" customWidth="1"/>
    <col min="2" max="2" width="25.85546875" customWidth="1"/>
    <col min="3" max="3" width="14" customWidth="1"/>
    <col min="4" max="4" width="6" customWidth="1"/>
    <col min="5" max="6" width="11.5703125" customWidth="1"/>
    <col min="7" max="19" width="4.7109375" customWidth="1"/>
    <col min="20" max="20" width="12.85546875" customWidth="1"/>
  </cols>
  <sheetData>
    <row r="1" spans="1:20" ht="15.75" x14ac:dyDescent="0.25">
      <c r="A1" s="541">
        <v>1</v>
      </c>
      <c r="B1" s="68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 t="s">
        <v>418</v>
      </c>
      <c r="P1" s="65"/>
      <c r="Q1" s="65"/>
      <c r="R1" s="65"/>
      <c r="S1" s="65"/>
      <c r="T1" s="65"/>
    </row>
    <row r="2" spans="1:20" ht="19.5" thickBot="1" x14ac:dyDescent="0.35">
      <c r="A2" s="542"/>
      <c r="B2" s="68" t="s">
        <v>419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196"/>
      <c r="O2" s="571" t="s">
        <v>483</v>
      </c>
      <c r="P2" s="571"/>
      <c r="Q2" s="571"/>
      <c r="R2" s="571"/>
      <c r="S2" s="571"/>
      <c r="T2" s="65"/>
    </row>
    <row r="3" spans="1:20" ht="15.75" x14ac:dyDescent="0.25">
      <c r="A3" s="543" t="s">
        <v>2</v>
      </c>
      <c r="B3" s="506" t="s">
        <v>3</v>
      </c>
      <c r="C3" s="69" t="s">
        <v>4</v>
      </c>
      <c r="D3" s="69" t="s">
        <v>5</v>
      </c>
      <c r="E3" s="69" t="s">
        <v>205</v>
      </c>
      <c r="F3" s="69" t="s">
        <v>6</v>
      </c>
      <c r="G3" s="555" t="s">
        <v>7</v>
      </c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6"/>
      <c r="T3" s="538" t="s">
        <v>8</v>
      </c>
    </row>
    <row r="4" spans="1:20" ht="15.75" x14ac:dyDescent="0.25">
      <c r="A4" s="544"/>
      <c r="B4" s="506"/>
      <c r="C4" s="546" t="s">
        <v>9</v>
      </c>
      <c r="D4" s="546" t="s">
        <v>10</v>
      </c>
      <c r="E4" s="425" t="s">
        <v>206</v>
      </c>
      <c r="F4" s="425" t="s">
        <v>11</v>
      </c>
      <c r="G4" s="508" t="s">
        <v>12</v>
      </c>
      <c r="H4" s="558"/>
      <c r="I4" s="558"/>
      <c r="J4" s="558"/>
      <c r="K4" s="557" t="s">
        <v>13</v>
      </c>
      <c r="L4" s="558"/>
      <c r="M4" s="558"/>
      <c r="N4" s="558"/>
      <c r="O4" s="557" t="s">
        <v>14</v>
      </c>
      <c r="P4" s="558"/>
      <c r="Q4" s="558"/>
      <c r="R4" s="558"/>
      <c r="S4" s="559" t="s">
        <v>15</v>
      </c>
      <c r="T4" s="538"/>
    </row>
    <row r="5" spans="1:20" ht="15.75" x14ac:dyDescent="0.25">
      <c r="A5" s="545"/>
      <c r="B5" s="506"/>
      <c r="C5" s="547"/>
      <c r="D5" s="547"/>
      <c r="E5" s="426" t="s">
        <v>200</v>
      </c>
      <c r="F5" s="426" t="s">
        <v>16</v>
      </c>
      <c r="G5" s="421" t="s">
        <v>17</v>
      </c>
      <c r="H5" s="421" t="s">
        <v>18</v>
      </c>
      <c r="I5" s="421" t="s">
        <v>19</v>
      </c>
      <c r="J5" s="421" t="s">
        <v>20</v>
      </c>
      <c r="K5" s="422" t="s">
        <v>17</v>
      </c>
      <c r="L5" s="421" t="s">
        <v>18</v>
      </c>
      <c r="M5" s="421" t="s">
        <v>19</v>
      </c>
      <c r="N5" s="421" t="s">
        <v>20</v>
      </c>
      <c r="O5" s="422" t="s">
        <v>17</v>
      </c>
      <c r="P5" s="421" t="s">
        <v>18</v>
      </c>
      <c r="Q5" s="421" t="s">
        <v>19</v>
      </c>
      <c r="R5" s="421" t="s">
        <v>20</v>
      </c>
      <c r="S5" s="559"/>
      <c r="T5" s="538"/>
    </row>
    <row r="6" spans="1:20" ht="15.75" x14ac:dyDescent="0.25">
      <c r="A6" s="71" t="s">
        <v>17</v>
      </c>
      <c r="B6" s="72" t="s">
        <v>279</v>
      </c>
      <c r="C6" s="560" t="s">
        <v>346</v>
      </c>
      <c r="D6" s="21" t="s">
        <v>23</v>
      </c>
      <c r="E6" s="73" t="s">
        <v>31</v>
      </c>
      <c r="F6" s="73" t="s">
        <v>31</v>
      </c>
      <c r="G6" s="44"/>
      <c r="H6" s="44"/>
      <c r="I6" s="44"/>
      <c r="J6" s="44"/>
      <c r="K6" s="80"/>
      <c r="L6" s="58"/>
      <c r="M6" s="44"/>
      <c r="N6" s="44"/>
      <c r="O6" s="45"/>
      <c r="P6" s="44"/>
      <c r="Q6" s="44"/>
      <c r="R6" s="44"/>
      <c r="S6" s="320">
        <f>SUM(G6:R6)</f>
        <v>0</v>
      </c>
      <c r="T6" s="304" t="s">
        <v>25</v>
      </c>
    </row>
    <row r="7" spans="1:20" ht="15.75" x14ac:dyDescent="0.25">
      <c r="A7" s="71"/>
      <c r="B7" s="74" t="s">
        <v>280</v>
      </c>
      <c r="C7" s="561"/>
      <c r="D7" s="70"/>
      <c r="E7" s="73"/>
      <c r="F7" s="73" t="s">
        <v>174</v>
      </c>
      <c r="G7" s="44"/>
      <c r="H7" s="44"/>
      <c r="I7" s="44"/>
      <c r="J7" s="44"/>
      <c r="K7" s="45"/>
      <c r="L7" s="44"/>
      <c r="M7" s="44"/>
      <c r="N7" s="44"/>
      <c r="O7" s="45"/>
      <c r="P7" s="44"/>
      <c r="Q7" s="44"/>
      <c r="R7" s="44"/>
      <c r="S7" s="320"/>
      <c r="T7" s="298"/>
    </row>
    <row r="8" spans="1:20" ht="15.75" x14ac:dyDescent="0.25">
      <c r="A8" s="76"/>
      <c r="B8" s="75"/>
      <c r="C8" s="562"/>
      <c r="D8" s="75"/>
      <c r="E8" s="77"/>
      <c r="F8" s="77"/>
      <c r="G8" s="56"/>
      <c r="H8" s="56"/>
      <c r="I8" s="56"/>
      <c r="J8" s="56"/>
      <c r="K8" s="55"/>
      <c r="L8" s="56"/>
      <c r="M8" s="56"/>
      <c r="N8" s="56"/>
      <c r="O8" s="55"/>
      <c r="P8" s="56"/>
      <c r="Q8" s="56"/>
      <c r="R8" s="56"/>
      <c r="S8" s="323"/>
      <c r="T8" s="299"/>
    </row>
    <row r="9" spans="1:20" ht="15.75" x14ac:dyDescent="0.25">
      <c r="A9" s="24" t="s">
        <v>18</v>
      </c>
      <c r="B9" s="78" t="s">
        <v>263</v>
      </c>
      <c r="C9" s="563" t="s">
        <v>348</v>
      </c>
      <c r="D9" s="48" t="s">
        <v>23</v>
      </c>
      <c r="E9" s="79" t="s">
        <v>31</v>
      </c>
      <c r="F9" s="79" t="s">
        <v>31</v>
      </c>
      <c r="G9" s="38">
        <v>2</v>
      </c>
      <c r="H9" s="38">
        <v>2</v>
      </c>
      <c r="I9" s="38">
        <v>2</v>
      </c>
      <c r="J9" s="38">
        <v>2</v>
      </c>
      <c r="K9" s="37"/>
      <c r="L9" s="38"/>
      <c r="M9" s="38">
        <v>2</v>
      </c>
      <c r="N9" s="38">
        <v>2</v>
      </c>
      <c r="O9" s="37"/>
      <c r="P9" s="38"/>
      <c r="Q9" s="38"/>
      <c r="R9" s="38"/>
      <c r="S9" s="321">
        <f>SUM(G9:R9)</f>
        <v>12</v>
      </c>
      <c r="T9" s="307" t="s">
        <v>258</v>
      </c>
    </row>
    <row r="10" spans="1:20" ht="15.75" x14ac:dyDescent="0.25">
      <c r="A10" s="71"/>
      <c r="B10" s="70" t="s">
        <v>265</v>
      </c>
      <c r="C10" s="564"/>
      <c r="D10" s="70"/>
      <c r="E10" s="73"/>
      <c r="F10" s="73"/>
      <c r="G10" s="44"/>
      <c r="H10" s="44"/>
      <c r="I10" s="44"/>
      <c r="J10" s="44"/>
      <c r="K10" s="45"/>
      <c r="L10" s="44"/>
      <c r="M10" s="44"/>
      <c r="N10" s="44"/>
      <c r="O10" s="45"/>
      <c r="P10" s="44"/>
      <c r="Q10" s="44"/>
      <c r="R10" s="44"/>
      <c r="S10" s="320"/>
      <c r="T10" s="308"/>
    </row>
    <row r="11" spans="1:20" ht="15.75" x14ac:dyDescent="0.25">
      <c r="A11" s="76"/>
      <c r="B11" s="84"/>
      <c r="C11" s="75"/>
      <c r="D11" s="75"/>
      <c r="E11" s="77"/>
      <c r="F11" s="77"/>
      <c r="G11" s="56"/>
      <c r="H11" s="56"/>
      <c r="I11" s="56"/>
      <c r="J11" s="56"/>
      <c r="K11" s="55"/>
      <c r="L11" s="56"/>
      <c r="M11" s="56"/>
      <c r="N11" s="56"/>
      <c r="O11" s="55"/>
      <c r="P11" s="56"/>
      <c r="Q11" s="56"/>
      <c r="R11" s="56"/>
      <c r="S11" s="323"/>
      <c r="T11" s="309"/>
    </row>
    <row r="12" spans="1:20" ht="15.75" x14ac:dyDescent="0.25">
      <c r="A12" s="71" t="s">
        <v>19</v>
      </c>
      <c r="B12" s="78" t="s">
        <v>234</v>
      </c>
      <c r="C12" s="553" t="s">
        <v>347</v>
      </c>
      <c r="D12" s="48" t="s">
        <v>23</v>
      </c>
      <c r="E12" s="79" t="s">
        <v>222</v>
      </c>
      <c r="F12" s="87" t="s">
        <v>222</v>
      </c>
      <c r="G12" s="38"/>
      <c r="H12" s="38"/>
      <c r="I12" s="38"/>
      <c r="J12" s="38"/>
      <c r="K12" s="37">
        <v>3</v>
      </c>
      <c r="L12" s="38">
        <v>3</v>
      </c>
      <c r="M12" s="38">
        <v>3</v>
      </c>
      <c r="N12" s="38">
        <v>3</v>
      </c>
      <c r="O12" s="37">
        <v>3</v>
      </c>
      <c r="P12" s="38">
        <v>3</v>
      </c>
      <c r="Q12" s="38">
        <v>3</v>
      </c>
      <c r="R12" s="38">
        <v>3</v>
      </c>
      <c r="S12" s="321">
        <f>SUM(G12:R13)</f>
        <v>24</v>
      </c>
      <c r="T12" s="305" t="s">
        <v>176</v>
      </c>
    </row>
    <row r="13" spans="1:20" ht="15.75" x14ac:dyDescent="0.25">
      <c r="A13" s="71"/>
      <c r="B13" s="70" t="s">
        <v>104</v>
      </c>
      <c r="C13" s="554"/>
      <c r="D13" s="70"/>
      <c r="E13" s="73"/>
      <c r="F13" s="73" t="s">
        <v>341</v>
      </c>
      <c r="G13" s="44"/>
      <c r="H13" s="44"/>
      <c r="I13" s="44"/>
      <c r="J13" s="44"/>
      <c r="K13" s="45"/>
      <c r="L13" s="44"/>
      <c r="M13" s="44"/>
      <c r="N13" s="44"/>
      <c r="O13" s="45"/>
      <c r="P13" s="58"/>
      <c r="Q13" s="44"/>
      <c r="R13" s="44"/>
      <c r="S13" s="320"/>
      <c r="T13" s="303" t="s">
        <v>353</v>
      </c>
    </row>
    <row r="14" spans="1:20" ht="15.75" x14ac:dyDescent="0.25">
      <c r="A14" s="71"/>
      <c r="B14" s="75"/>
      <c r="C14" s="75"/>
      <c r="D14" s="75"/>
      <c r="E14" s="77"/>
      <c r="F14" s="77"/>
      <c r="G14" s="56"/>
      <c r="H14" s="56"/>
      <c r="I14" s="56"/>
      <c r="J14" s="56"/>
      <c r="K14" s="55"/>
      <c r="L14" s="56"/>
      <c r="M14" s="56"/>
      <c r="N14" s="56"/>
      <c r="O14" s="55"/>
      <c r="P14" s="56"/>
      <c r="Q14" s="56"/>
      <c r="R14" s="56"/>
      <c r="S14" s="323"/>
      <c r="T14" s="306"/>
    </row>
    <row r="15" spans="1:20" ht="15.75" x14ac:dyDescent="0.25">
      <c r="A15" s="24" t="s">
        <v>20</v>
      </c>
      <c r="B15" s="78" t="s">
        <v>33</v>
      </c>
      <c r="C15" s="23" t="s">
        <v>349</v>
      </c>
      <c r="D15" s="48" t="s">
        <v>23</v>
      </c>
      <c r="E15" s="79" t="s">
        <v>177</v>
      </c>
      <c r="F15" s="79" t="s">
        <v>177</v>
      </c>
      <c r="G15" s="38"/>
      <c r="H15" s="38"/>
      <c r="I15" s="38"/>
      <c r="J15" s="38"/>
      <c r="K15" s="37"/>
      <c r="L15" s="38"/>
      <c r="M15" s="38">
        <v>6</v>
      </c>
      <c r="N15" s="38">
        <v>6</v>
      </c>
      <c r="O15" s="37">
        <v>6</v>
      </c>
      <c r="P15" s="38">
        <v>6</v>
      </c>
      <c r="Q15" s="38"/>
      <c r="R15" s="38"/>
      <c r="S15" s="321">
        <f>SUM(G15:R17)</f>
        <v>24</v>
      </c>
      <c r="T15" s="300" t="s">
        <v>435</v>
      </c>
    </row>
    <row r="16" spans="1:20" ht="15.75" x14ac:dyDescent="0.25">
      <c r="A16" s="71"/>
      <c r="B16" s="70" t="s">
        <v>101</v>
      </c>
      <c r="C16" s="70"/>
      <c r="D16" s="70"/>
      <c r="E16" s="73"/>
      <c r="F16" s="73"/>
      <c r="G16" s="44"/>
      <c r="H16" s="44"/>
      <c r="I16" s="44"/>
      <c r="J16" s="44"/>
      <c r="K16" s="45"/>
      <c r="L16" s="44"/>
      <c r="M16" s="44"/>
      <c r="N16" s="44"/>
      <c r="O16" s="45"/>
      <c r="P16" s="44"/>
      <c r="Q16" s="44"/>
      <c r="R16" s="85"/>
      <c r="S16" s="328"/>
      <c r="T16" s="298" t="s">
        <v>436</v>
      </c>
    </row>
    <row r="17" spans="1:20" ht="15.75" x14ac:dyDescent="0.25">
      <c r="A17" s="76"/>
      <c r="B17" s="75"/>
      <c r="C17" s="75"/>
      <c r="D17" s="75"/>
      <c r="E17" s="77"/>
      <c r="F17" s="77"/>
      <c r="G17" s="56"/>
      <c r="H17" s="56"/>
      <c r="I17" s="56"/>
      <c r="J17" s="56"/>
      <c r="K17" s="55"/>
      <c r="L17" s="56"/>
      <c r="M17" s="56"/>
      <c r="N17" s="56"/>
      <c r="O17" s="55"/>
      <c r="P17" s="56"/>
      <c r="Q17" s="56"/>
      <c r="R17" s="56"/>
      <c r="S17" s="323"/>
      <c r="T17" s="306"/>
    </row>
    <row r="18" spans="1:20" ht="15.75" x14ac:dyDescent="0.25">
      <c r="A18" s="24" t="s">
        <v>21</v>
      </c>
      <c r="B18" s="78" t="s">
        <v>46</v>
      </c>
      <c r="C18" s="23" t="s">
        <v>349</v>
      </c>
      <c r="D18" s="48" t="s">
        <v>23</v>
      </c>
      <c r="E18" s="79" t="s">
        <v>47</v>
      </c>
      <c r="F18" s="414" t="s">
        <v>338</v>
      </c>
      <c r="G18" s="369"/>
      <c r="H18" s="369"/>
      <c r="I18" s="369"/>
      <c r="J18" s="369"/>
      <c r="K18" s="370"/>
      <c r="L18" s="371"/>
      <c r="M18" s="371"/>
      <c r="N18" s="371"/>
      <c r="O18" s="37"/>
      <c r="P18" s="38"/>
      <c r="Q18" s="38"/>
      <c r="R18" s="38"/>
      <c r="S18" s="329">
        <f>SUM(G18:R20)</f>
        <v>0</v>
      </c>
      <c r="T18" s="548" t="s">
        <v>297</v>
      </c>
    </row>
    <row r="19" spans="1:20" ht="15.75" x14ac:dyDescent="0.25">
      <c r="A19" s="71"/>
      <c r="B19" s="70" t="s">
        <v>253</v>
      </c>
      <c r="C19" s="70"/>
      <c r="D19" s="70"/>
      <c r="E19" s="103"/>
      <c r="F19" s="259" t="s">
        <v>29</v>
      </c>
      <c r="G19" s="104"/>
      <c r="H19" s="104"/>
      <c r="I19" s="104"/>
      <c r="J19" s="104"/>
      <c r="K19" s="105"/>
      <c r="L19" s="99"/>
      <c r="M19" s="99"/>
      <c r="N19" s="99"/>
      <c r="O19" s="105"/>
      <c r="P19" s="104"/>
      <c r="Q19" s="104"/>
      <c r="R19" s="104"/>
      <c r="S19" s="330"/>
      <c r="T19" s="549"/>
    </row>
    <row r="20" spans="1:20" ht="15.75" x14ac:dyDescent="0.25">
      <c r="A20" s="76"/>
      <c r="B20" s="75"/>
      <c r="C20" s="75"/>
      <c r="D20" s="75"/>
      <c r="E20" s="77"/>
      <c r="F20" s="77"/>
      <c r="G20" s="56"/>
      <c r="H20" s="56"/>
      <c r="I20" s="56"/>
      <c r="J20" s="56"/>
      <c r="K20" s="55"/>
      <c r="L20" s="56"/>
      <c r="M20" s="56"/>
      <c r="N20" s="56"/>
      <c r="O20" s="55"/>
      <c r="P20" s="56"/>
      <c r="Q20" s="56"/>
      <c r="R20" s="56"/>
      <c r="S20" s="323"/>
      <c r="T20" s="299"/>
    </row>
    <row r="21" spans="1:20" ht="15.75" x14ac:dyDescent="0.25">
      <c r="A21" s="24" t="s">
        <v>22</v>
      </c>
      <c r="B21" s="78" t="s">
        <v>184</v>
      </c>
      <c r="C21" s="23" t="s">
        <v>349</v>
      </c>
      <c r="D21" s="48" t="s">
        <v>23</v>
      </c>
      <c r="E21" s="79" t="s">
        <v>37</v>
      </c>
      <c r="F21" s="79" t="s">
        <v>37</v>
      </c>
      <c r="G21" s="38"/>
      <c r="H21" s="38"/>
      <c r="I21" s="38"/>
      <c r="J21" s="38"/>
      <c r="K21" s="37"/>
      <c r="L21" s="38"/>
      <c r="M21" s="38"/>
      <c r="N21" s="38">
        <v>5</v>
      </c>
      <c r="O21" s="37">
        <v>5</v>
      </c>
      <c r="P21" s="38">
        <v>5</v>
      </c>
      <c r="Q21" s="38">
        <v>5</v>
      </c>
      <c r="R21" s="38">
        <v>5</v>
      </c>
      <c r="S21" s="321">
        <f>SUM(G21:R22)</f>
        <v>25</v>
      </c>
      <c r="T21" s="301" t="s">
        <v>304</v>
      </c>
    </row>
    <row r="22" spans="1:20" ht="15.75" x14ac:dyDescent="0.25">
      <c r="A22" s="71"/>
      <c r="B22" s="70" t="s">
        <v>103</v>
      </c>
      <c r="C22" s="70"/>
      <c r="D22" s="70"/>
      <c r="E22" s="73"/>
      <c r="F22" s="73"/>
      <c r="G22" s="44"/>
      <c r="H22" s="44"/>
      <c r="I22" s="44"/>
      <c r="J22" s="44"/>
      <c r="K22" s="45"/>
      <c r="L22" s="44"/>
      <c r="M22" s="44"/>
      <c r="N22" s="44"/>
      <c r="O22" s="45"/>
      <c r="P22" s="44"/>
      <c r="Q22" s="44"/>
      <c r="R22" s="44"/>
      <c r="S22" s="320"/>
      <c r="T22" s="310"/>
    </row>
    <row r="23" spans="1:20" ht="15.75" x14ac:dyDescent="0.25">
      <c r="A23" s="76"/>
      <c r="B23" s="75"/>
      <c r="C23" s="75"/>
      <c r="D23" s="75"/>
      <c r="E23" s="77"/>
      <c r="F23" s="77"/>
      <c r="G23" s="56"/>
      <c r="H23" s="56"/>
      <c r="I23" s="56"/>
      <c r="J23" s="56"/>
      <c r="K23" s="55"/>
      <c r="L23" s="56"/>
      <c r="M23" s="56"/>
      <c r="N23" s="56"/>
      <c r="O23" s="55"/>
      <c r="P23" s="56"/>
      <c r="Q23" s="56"/>
      <c r="R23" s="56"/>
      <c r="S23" s="323"/>
      <c r="T23" s="311"/>
    </row>
    <row r="24" spans="1:20" ht="15.75" x14ac:dyDescent="0.25">
      <c r="A24" s="24" t="s">
        <v>35</v>
      </c>
      <c r="B24" s="78" t="s">
        <v>59</v>
      </c>
      <c r="C24" s="23" t="s">
        <v>349</v>
      </c>
      <c r="D24" s="48" t="s">
        <v>23</v>
      </c>
      <c r="E24" s="79" t="s">
        <v>187</v>
      </c>
      <c r="F24" s="79" t="s">
        <v>216</v>
      </c>
      <c r="G24" s="38">
        <v>3</v>
      </c>
      <c r="H24" s="38">
        <v>3</v>
      </c>
      <c r="I24" s="38">
        <v>3</v>
      </c>
      <c r="J24" s="38">
        <v>3</v>
      </c>
      <c r="K24" s="54"/>
      <c r="L24" s="41"/>
      <c r="M24" s="41"/>
      <c r="N24" s="42"/>
      <c r="O24" s="188"/>
      <c r="P24" s="189"/>
      <c r="Q24" s="189"/>
      <c r="R24" s="189"/>
      <c r="S24" s="433">
        <f>SUM(G24:R26)</f>
        <v>12</v>
      </c>
      <c r="T24" s="301" t="s">
        <v>188</v>
      </c>
    </row>
    <row r="25" spans="1:20" ht="15.75" x14ac:dyDescent="0.25">
      <c r="A25" s="71"/>
      <c r="B25" s="70" t="s">
        <v>107</v>
      </c>
      <c r="C25" s="70"/>
      <c r="D25" s="70"/>
      <c r="E25" s="82"/>
      <c r="F25" s="73"/>
      <c r="G25" s="44"/>
      <c r="H25" s="44"/>
      <c r="I25" s="44"/>
      <c r="J25" s="44"/>
      <c r="K25" s="45"/>
      <c r="L25" s="44"/>
      <c r="M25" s="44"/>
      <c r="N25" s="46"/>
      <c r="O25" s="45"/>
      <c r="P25" s="44"/>
      <c r="Q25" s="44"/>
      <c r="R25" s="44"/>
      <c r="S25" s="325"/>
      <c r="T25" s="303"/>
    </row>
    <row r="26" spans="1:20" ht="15.75" x14ac:dyDescent="0.25">
      <c r="A26" s="76"/>
      <c r="B26" s="75"/>
      <c r="C26" s="75"/>
      <c r="D26" s="75"/>
      <c r="E26" s="77"/>
      <c r="F26" s="77"/>
      <c r="G26" s="56"/>
      <c r="H26" s="56"/>
      <c r="I26" s="56"/>
      <c r="J26" s="56"/>
      <c r="K26" s="55"/>
      <c r="L26" s="56"/>
      <c r="M26" s="56"/>
      <c r="N26" s="57"/>
      <c r="O26" s="55"/>
      <c r="P26" s="56"/>
      <c r="Q26" s="56"/>
      <c r="R26" s="56"/>
      <c r="S26" s="323"/>
      <c r="T26" s="302"/>
    </row>
    <row r="27" spans="1:20" ht="15.75" x14ac:dyDescent="0.25">
      <c r="A27" s="71" t="s">
        <v>36</v>
      </c>
      <c r="B27" s="78" t="s">
        <v>71</v>
      </c>
      <c r="C27" s="553" t="s">
        <v>350</v>
      </c>
      <c r="D27" s="48" t="s">
        <v>23</v>
      </c>
      <c r="E27" s="108" t="s">
        <v>26</v>
      </c>
      <c r="F27" s="108" t="s">
        <v>26</v>
      </c>
      <c r="G27" s="102"/>
      <c r="H27" s="102"/>
      <c r="I27" s="102"/>
      <c r="J27" s="102"/>
      <c r="K27" s="43"/>
      <c r="L27" s="102">
        <v>5</v>
      </c>
      <c r="M27" s="102">
        <v>5</v>
      </c>
      <c r="N27" s="109">
        <v>5</v>
      </c>
      <c r="O27" s="43"/>
      <c r="P27" s="102"/>
      <c r="Q27" s="102"/>
      <c r="R27" s="102"/>
      <c r="S27" s="317">
        <f>SUM(G27:R28)</f>
        <v>15</v>
      </c>
      <c r="T27" s="307" t="s">
        <v>176</v>
      </c>
    </row>
    <row r="28" spans="1:20" ht="15.75" x14ac:dyDescent="0.25">
      <c r="A28" s="71"/>
      <c r="B28" s="70" t="s">
        <v>119</v>
      </c>
      <c r="C28" s="554"/>
      <c r="D28" s="70"/>
      <c r="E28" s="82"/>
      <c r="F28" s="82"/>
      <c r="G28" s="58"/>
      <c r="H28" s="58"/>
      <c r="I28" s="58"/>
      <c r="J28" s="58"/>
      <c r="K28" s="80"/>
      <c r="L28" s="58"/>
      <c r="M28" s="58"/>
      <c r="N28" s="60"/>
      <c r="O28" s="80"/>
      <c r="P28" s="58"/>
      <c r="Q28" s="58"/>
      <c r="R28" s="85"/>
      <c r="S28" s="322"/>
      <c r="T28" s="304" t="s">
        <v>340</v>
      </c>
    </row>
    <row r="29" spans="1:20" ht="15.75" x14ac:dyDescent="0.25">
      <c r="A29" s="71"/>
      <c r="B29" s="75"/>
      <c r="C29" s="75"/>
      <c r="D29" s="75"/>
      <c r="E29" s="92"/>
      <c r="F29" s="92"/>
      <c r="G29" s="61"/>
      <c r="H29" s="61"/>
      <c r="I29" s="61"/>
      <c r="J29" s="61"/>
      <c r="K29" s="62"/>
      <c r="L29" s="61"/>
      <c r="M29" s="61"/>
      <c r="N29" s="93"/>
      <c r="O29" s="62"/>
      <c r="P29" s="61"/>
      <c r="Q29" s="61"/>
      <c r="R29" s="61"/>
      <c r="S29" s="319"/>
      <c r="T29" s="312"/>
    </row>
    <row r="30" spans="1:20" ht="15.75" x14ac:dyDescent="0.25">
      <c r="A30" s="24" t="s">
        <v>38</v>
      </c>
      <c r="B30" s="91" t="s">
        <v>339</v>
      </c>
      <c r="C30" s="553" t="s">
        <v>350</v>
      </c>
      <c r="D30" s="21" t="s">
        <v>23</v>
      </c>
      <c r="E30" s="73" t="s">
        <v>37</v>
      </c>
      <c r="F30" s="96" t="s">
        <v>37</v>
      </c>
      <c r="G30" s="44">
        <v>5</v>
      </c>
      <c r="H30" s="44">
        <v>5</v>
      </c>
      <c r="I30" s="44">
        <v>5</v>
      </c>
      <c r="J30" s="44">
        <v>5</v>
      </c>
      <c r="K30" s="45">
        <v>5</v>
      </c>
      <c r="L30" s="44"/>
      <c r="M30" s="44"/>
      <c r="N30" s="44"/>
      <c r="O30" s="45"/>
      <c r="P30" s="44"/>
      <c r="Q30" s="44"/>
      <c r="R30" s="44"/>
      <c r="S30" s="321">
        <f>SUM(G30:R32)</f>
        <v>25</v>
      </c>
      <c r="T30" s="550" t="s">
        <v>337</v>
      </c>
    </row>
    <row r="31" spans="1:20" ht="15.75" x14ac:dyDescent="0.25">
      <c r="A31" s="71"/>
      <c r="B31" s="70" t="s">
        <v>227</v>
      </c>
      <c r="C31" s="554"/>
      <c r="D31" s="21"/>
      <c r="E31" s="73"/>
      <c r="F31" s="82"/>
      <c r="G31" s="44"/>
      <c r="H31" s="44"/>
      <c r="I31" s="44"/>
      <c r="J31" s="44"/>
      <c r="K31" s="45"/>
      <c r="L31" s="44"/>
      <c r="M31" s="44"/>
      <c r="N31" s="44"/>
      <c r="O31" s="45"/>
      <c r="P31" s="44"/>
      <c r="Q31" s="44"/>
      <c r="R31" s="44"/>
      <c r="S31" s="320"/>
      <c r="T31" s="551"/>
    </row>
    <row r="32" spans="1:20" ht="15.75" x14ac:dyDescent="0.25">
      <c r="A32" s="76"/>
      <c r="B32" s="75"/>
      <c r="C32" s="75"/>
      <c r="D32" s="75"/>
      <c r="E32" s="77"/>
      <c r="F32" s="77"/>
      <c r="G32" s="56"/>
      <c r="H32" s="56"/>
      <c r="I32" s="56"/>
      <c r="J32" s="56"/>
      <c r="K32" s="55"/>
      <c r="L32" s="56"/>
      <c r="M32" s="56"/>
      <c r="N32" s="56"/>
      <c r="O32" s="55"/>
      <c r="P32" s="56"/>
      <c r="Q32" s="56"/>
      <c r="R32" s="56"/>
      <c r="S32" s="324"/>
      <c r="T32" s="552"/>
    </row>
    <row r="35" spans="1:20" ht="15.75" x14ac:dyDescent="0.25">
      <c r="A35" s="89"/>
      <c r="B35" s="88"/>
      <c r="C35" s="88"/>
      <c r="D35" s="88"/>
      <c r="E35" s="88"/>
      <c r="F35" s="88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67"/>
    </row>
    <row r="36" spans="1:20" ht="15.75" x14ac:dyDescent="0.25">
      <c r="A36" s="543" t="s">
        <v>2</v>
      </c>
      <c r="B36" s="506" t="s">
        <v>3</v>
      </c>
      <c r="C36" s="69" t="s">
        <v>4</v>
      </c>
      <c r="D36" s="69" t="s">
        <v>5</v>
      </c>
      <c r="E36" s="69" t="s">
        <v>205</v>
      </c>
      <c r="F36" s="69" t="s">
        <v>6</v>
      </c>
      <c r="G36" s="506" t="s">
        <v>7</v>
      </c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65"/>
      <c r="T36" s="538" t="s">
        <v>40</v>
      </c>
    </row>
    <row r="37" spans="1:20" ht="15.75" x14ac:dyDescent="0.25">
      <c r="A37" s="544"/>
      <c r="B37" s="506"/>
      <c r="C37" s="546" t="s">
        <v>9</v>
      </c>
      <c r="D37" s="546" t="s">
        <v>10</v>
      </c>
      <c r="E37" s="425" t="s">
        <v>206</v>
      </c>
      <c r="F37" s="425" t="s">
        <v>11</v>
      </c>
      <c r="G37" s="508" t="s">
        <v>12</v>
      </c>
      <c r="H37" s="558"/>
      <c r="I37" s="558"/>
      <c r="J37" s="558"/>
      <c r="K37" s="557" t="s">
        <v>13</v>
      </c>
      <c r="L37" s="558"/>
      <c r="M37" s="558"/>
      <c r="N37" s="558"/>
      <c r="O37" s="557" t="s">
        <v>14</v>
      </c>
      <c r="P37" s="558"/>
      <c r="Q37" s="558"/>
      <c r="R37" s="558"/>
      <c r="S37" s="559" t="s">
        <v>15</v>
      </c>
      <c r="T37" s="538"/>
    </row>
    <row r="38" spans="1:20" ht="15.75" x14ac:dyDescent="0.25">
      <c r="A38" s="545"/>
      <c r="B38" s="506"/>
      <c r="C38" s="547"/>
      <c r="D38" s="547"/>
      <c r="E38" s="426" t="s">
        <v>200</v>
      </c>
      <c r="F38" s="426" t="s">
        <v>16</v>
      </c>
      <c r="G38" s="421" t="s">
        <v>17</v>
      </c>
      <c r="H38" s="421" t="s">
        <v>18</v>
      </c>
      <c r="I38" s="421" t="s">
        <v>19</v>
      </c>
      <c r="J38" s="421" t="s">
        <v>20</v>
      </c>
      <c r="K38" s="422" t="s">
        <v>17</v>
      </c>
      <c r="L38" s="421" t="s">
        <v>18</v>
      </c>
      <c r="M38" s="421" t="s">
        <v>19</v>
      </c>
      <c r="N38" s="421" t="s">
        <v>20</v>
      </c>
      <c r="O38" s="422" t="s">
        <v>17</v>
      </c>
      <c r="P38" s="421" t="s">
        <v>18</v>
      </c>
      <c r="Q38" s="421" t="s">
        <v>19</v>
      </c>
      <c r="R38" s="421" t="s">
        <v>20</v>
      </c>
      <c r="S38" s="559"/>
      <c r="T38" s="538"/>
    </row>
    <row r="39" spans="1:20" ht="15.75" x14ac:dyDescent="0.25">
      <c r="A39" s="24" t="s">
        <v>41</v>
      </c>
      <c r="B39" s="78" t="s">
        <v>69</v>
      </c>
      <c r="C39" s="553" t="s">
        <v>350</v>
      </c>
      <c r="D39" s="48" t="s">
        <v>23</v>
      </c>
      <c r="E39" s="81" t="s">
        <v>34</v>
      </c>
      <c r="F39" s="81" t="s">
        <v>177</v>
      </c>
      <c r="G39" s="41"/>
      <c r="H39" s="41"/>
      <c r="I39" s="41">
        <v>6</v>
      </c>
      <c r="J39" s="41">
        <v>6</v>
      </c>
      <c r="K39" s="54">
        <v>6</v>
      </c>
      <c r="L39" s="41">
        <v>6</v>
      </c>
      <c r="M39" s="41"/>
      <c r="N39" s="42"/>
      <c r="O39" s="54"/>
      <c r="P39" s="41"/>
      <c r="Q39" s="41"/>
      <c r="R39" s="41"/>
      <c r="S39" s="317">
        <f>SUM(G39:R39)</f>
        <v>24</v>
      </c>
      <c r="T39" s="300" t="s">
        <v>27</v>
      </c>
    </row>
    <row r="40" spans="1:20" ht="15.75" x14ac:dyDescent="0.25">
      <c r="A40" s="71"/>
      <c r="B40" s="70" t="s">
        <v>218</v>
      </c>
      <c r="C40" s="554"/>
      <c r="D40" s="70"/>
      <c r="E40" s="82"/>
      <c r="F40" s="82"/>
      <c r="G40" s="58"/>
      <c r="H40" s="58"/>
      <c r="I40" s="58"/>
      <c r="J40" s="58"/>
      <c r="K40" s="80"/>
      <c r="L40" s="58"/>
      <c r="M40" s="58"/>
      <c r="N40" s="60"/>
      <c r="O40" s="80"/>
      <c r="P40" s="58"/>
      <c r="Q40" s="58"/>
      <c r="R40" s="58"/>
      <c r="S40" s="318"/>
      <c r="T40" s="303" t="s">
        <v>50</v>
      </c>
    </row>
    <row r="41" spans="1:20" ht="15.75" x14ac:dyDescent="0.25">
      <c r="A41" s="71"/>
      <c r="B41" s="75"/>
      <c r="C41" s="75"/>
      <c r="D41" s="75"/>
      <c r="E41" s="92"/>
      <c r="F41" s="92"/>
      <c r="G41" s="61"/>
      <c r="H41" s="61"/>
      <c r="I41" s="61"/>
      <c r="J41" s="61"/>
      <c r="K41" s="62"/>
      <c r="L41" s="61"/>
      <c r="M41" s="61"/>
      <c r="N41" s="93"/>
      <c r="O41" s="62"/>
      <c r="P41" s="61"/>
      <c r="Q41" s="61"/>
      <c r="R41" s="61"/>
      <c r="S41" s="319"/>
      <c r="T41" s="299"/>
    </row>
    <row r="42" spans="1:20" ht="15.75" x14ac:dyDescent="0.25">
      <c r="A42" s="24" t="s">
        <v>42</v>
      </c>
      <c r="B42" s="78" t="s">
        <v>62</v>
      </c>
      <c r="C42" s="553" t="s">
        <v>350</v>
      </c>
      <c r="D42" s="48" t="s">
        <v>23</v>
      </c>
      <c r="E42" s="23" t="s">
        <v>326</v>
      </c>
      <c r="F42" s="23" t="s">
        <v>326</v>
      </c>
      <c r="G42" s="48"/>
      <c r="H42" s="48"/>
      <c r="I42" s="48"/>
      <c r="J42" s="48"/>
      <c r="K42" s="40">
        <v>3</v>
      </c>
      <c r="L42" s="48">
        <v>3</v>
      </c>
      <c r="M42" s="48">
        <v>3</v>
      </c>
      <c r="N42" s="100">
        <v>3</v>
      </c>
      <c r="O42" s="40">
        <v>3</v>
      </c>
      <c r="P42" s="48">
        <v>3</v>
      </c>
      <c r="Q42" s="48">
        <v>3</v>
      </c>
      <c r="R42" s="48">
        <v>3</v>
      </c>
      <c r="S42" s="321">
        <f>SUM(G42:R44)</f>
        <v>24</v>
      </c>
      <c r="T42" s="301" t="s">
        <v>221</v>
      </c>
    </row>
    <row r="43" spans="1:20" ht="15.75" x14ac:dyDescent="0.25">
      <c r="A43" s="71"/>
      <c r="B43" s="70" t="s">
        <v>226</v>
      </c>
      <c r="C43" s="554"/>
      <c r="D43" s="70"/>
      <c r="E43" s="82"/>
      <c r="F43" s="82"/>
      <c r="G43" s="58"/>
      <c r="H43" s="58"/>
      <c r="I43" s="58"/>
      <c r="J43" s="58"/>
      <c r="K43" s="80"/>
      <c r="L43" s="58"/>
      <c r="M43" s="58"/>
      <c r="N43" s="60"/>
      <c r="O43" s="80"/>
      <c r="P43" s="85"/>
      <c r="Q43" s="85"/>
      <c r="R43" s="58"/>
      <c r="S43" s="322"/>
      <c r="T43" s="303" t="s">
        <v>352</v>
      </c>
    </row>
    <row r="44" spans="1:20" ht="15.75" x14ac:dyDescent="0.25">
      <c r="A44" s="71"/>
      <c r="B44" s="75"/>
      <c r="C44" s="75"/>
      <c r="D44" s="75"/>
      <c r="E44" s="77"/>
      <c r="F44" s="77"/>
      <c r="G44" s="56"/>
      <c r="H44" s="56"/>
      <c r="I44" s="56"/>
      <c r="J44" s="56"/>
      <c r="K44" s="55"/>
      <c r="L44" s="56"/>
      <c r="M44" s="56"/>
      <c r="N44" s="57"/>
      <c r="O44" s="55"/>
      <c r="P44" s="56"/>
      <c r="Q44" s="56"/>
      <c r="R44" s="56"/>
      <c r="S44" s="323"/>
      <c r="T44" s="299" t="s">
        <v>476</v>
      </c>
    </row>
    <row r="45" spans="1:20" ht="15.75" x14ac:dyDescent="0.25">
      <c r="A45" s="24" t="s">
        <v>45</v>
      </c>
      <c r="B45" s="78" t="s">
        <v>322</v>
      </c>
      <c r="C45" s="553" t="s">
        <v>350</v>
      </c>
      <c r="D45" s="48" t="s">
        <v>23</v>
      </c>
      <c r="E45" s="79" t="s">
        <v>204</v>
      </c>
      <c r="F45" s="79" t="s">
        <v>204</v>
      </c>
      <c r="G45" s="38">
        <v>4</v>
      </c>
      <c r="H45" s="38">
        <v>4</v>
      </c>
      <c r="I45" s="38">
        <v>4</v>
      </c>
      <c r="J45" s="41">
        <v>4</v>
      </c>
      <c r="K45" s="37">
        <v>4</v>
      </c>
      <c r="L45" s="38">
        <v>4</v>
      </c>
      <c r="M45" s="38"/>
      <c r="N45" s="39"/>
      <c r="O45" s="37"/>
      <c r="P45" s="38"/>
      <c r="Q45" s="38"/>
      <c r="R45" s="41"/>
      <c r="S45" s="321">
        <f>SUM(G45:R45)</f>
        <v>24</v>
      </c>
      <c r="T45" s="40" t="s">
        <v>443</v>
      </c>
    </row>
    <row r="46" spans="1:20" ht="15.75" x14ac:dyDescent="0.25">
      <c r="A46" s="71"/>
      <c r="B46" s="70" t="s">
        <v>114</v>
      </c>
      <c r="C46" s="554"/>
      <c r="D46" s="70"/>
      <c r="E46" s="73"/>
      <c r="F46" s="73"/>
      <c r="G46" s="44"/>
      <c r="H46" s="44"/>
      <c r="I46" s="44"/>
      <c r="J46" s="44"/>
      <c r="K46" s="45"/>
      <c r="L46" s="44"/>
      <c r="M46" s="44"/>
      <c r="N46" s="46"/>
      <c r="O46" s="45"/>
      <c r="P46" s="44"/>
      <c r="Q46" s="44"/>
      <c r="R46" s="44"/>
      <c r="S46" s="320"/>
      <c r="T46" s="47" t="s">
        <v>444</v>
      </c>
    </row>
    <row r="47" spans="1:20" ht="15.75" x14ac:dyDescent="0.25">
      <c r="A47" s="76"/>
      <c r="B47" s="75"/>
      <c r="C47" s="75"/>
      <c r="D47" s="75"/>
      <c r="E47" s="77"/>
      <c r="F47" s="77"/>
      <c r="G47" s="56"/>
      <c r="H47" s="56"/>
      <c r="I47" s="56"/>
      <c r="J47" s="56"/>
      <c r="K47" s="55"/>
      <c r="L47" s="56"/>
      <c r="M47" s="56"/>
      <c r="N47" s="57"/>
      <c r="O47" s="55"/>
      <c r="P47" s="56"/>
      <c r="Q47" s="56"/>
      <c r="R47" s="56"/>
      <c r="S47" s="323"/>
      <c r="T47" s="303"/>
    </row>
    <row r="48" spans="1:20" ht="15.75" x14ac:dyDescent="0.25">
      <c r="A48" s="24" t="s">
        <v>48</v>
      </c>
      <c r="B48" s="78" t="s">
        <v>183</v>
      </c>
      <c r="C48" s="553" t="s">
        <v>350</v>
      </c>
      <c r="D48" s="48" t="s">
        <v>23</v>
      </c>
      <c r="E48" s="108" t="s">
        <v>75</v>
      </c>
      <c r="F48" s="108" t="s">
        <v>75</v>
      </c>
      <c r="G48" s="102"/>
      <c r="H48" s="102"/>
      <c r="I48" s="102"/>
      <c r="J48" s="102"/>
      <c r="K48" s="43">
        <v>2</v>
      </c>
      <c r="L48" s="102">
        <v>2</v>
      </c>
      <c r="M48" s="102"/>
      <c r="N48" s="109"/>
      <c r="O48" s="43">
        <v>2</v>
      </c>
      <c r="P48" s="102">
        <v>2</v>
      </c>
      <c r="Q48" s="102">
        <v>2</v>
      </c>
      <c r="R48" s="102">
        <v>2</v>
      </c>
      <c r="S48" s="317">
        <f>SUM(G48:R50)</f>
        <v>12</v>
      </c>
      <c r="T48" s="307" t="s">
        <v>203</v>
      </c>
    </row>
    <row r="49" spans="1:20" ht="15.75" x14ac:dyDescent="0.25">
      <c r="A49" s="71"/>
      <c r="B49" s="70" t="s">
        <v>121</v>
      </c>
      <c r="C49" s="554"/>
      <c r="D49" s="70"/>
      <c r="E49" s="82"/>
      <c r="F49" s="110"/>
      <c r="G49" s="58"/>
      <c r="H49" s="58"/>
      <c r="I49" s="58"/>
      <c r="J49" s="58"/>
      <c r="K49" s="80"/>
      <c r="L49" s="58"/>
      <c r="M49" s="58"/>
      <c r="N49" s="85"/>
      <c r="O49" s="80"/>
      <c r="P49" s="58"/>
      <c r="Q49" s="58"/>
      <c r="R49" s="58"/>
      <c r="S49" s="322"/>
      <c r="T49" s="303" t="s">
        <v>354</v>
      </c>
    </row>
    <row r="50" spans="1:20" ht="15.75" x14ac:dyDescent="0.25">
      <c r="A50" s="76"/>
      <c r="B50" s="75"/>
      <c r="C50" s="75"/>
      <c r="D50" s="75"/>
      <c r="E50" s="92"/>
      <c r="F50" s="92"/>
      <c r="G50" s="61"/>
      <c r="H50" s="61"/>
      <c r="I50" s="61"/>
      <c r="J50" s="61"/>
      <c r="K50" s="62"/>
      <c r="L50" s="61"/>
      <c r="M50" s="61"/>
      <c r="N50" s="93"/>
      <c r="O50" s="95"/>
      <c r="P50" s="59"/>
      <c r="Q50" s="59"/>
      <c r="R50" s="61"/>
      <c r="S50" s="324"/>
      <c r="T50" s="303" t="s">
        <v>442</v>
      </c>
    </row>
    <row r="51" spans="1:20" ht="15.75" x14ac:dyDescent="0.25">
      <c r="A51" s="24" t="s">
        <v>49</v>
      </c>
      <c r="B51" s="78" t="s">
        <v>182</v>
      </c>
      <c r="C51" s="553" t="s">
        <v>350</v>
      </c>
      <c r="D51" s="48" t="s">
        <v>23</v>
      </c>
      <c r="E51" s="81" t="s">
        <v>26</v>
      </c>
      <c r="F51" s="81" t="s">
        <v>26</v>
      </c>
      <c r="G51" s="41"/>
      <c r="H51" s="41"/>
      <c r="I51" s="41"/>
      <c r="J51" s="41"/>
      <c r="K51" s="41">
        <v>5</v>
      </c>
      <c r="L51" s="41"/>
      <c r="M51" s="41"/>
      <c r="N51" s="41"/>
      <c r="O51" s="54">
        <v>5</v>
      </c>
      <c r="P51" s="41">
        <v>5</v>
      </c>
      <c r="Q51" s="41">
        <v>5</v>
      </c>
      <c r="R51" s="41">
        <v>5</v>
      </c>
      <c r="S51" s="317">
        <f>SUM(G51:R53)</f>
        <v>25</v>
      </c>
      <c r="T51" s="539" t="s">
        <v>303</v>
      </c>
    </row>
    <row r="52" spans="1:20" ht="15.75" x14ac:dyDescent="0.25">
      <c r="A52" s="71"/>
      <c r="B52" s="70" t="s">
        <v>123</v>
      </c>
      <c r="C52" s="554"/>
      <c r="D52" s="70"/>
      <c r="E52" s="82"/>
      <c r="F52" s="82"/>
      <c r="G52" s="58"/>
      <c r="H52" s="58"/>
      <c r="I52" s="58"/>
      <c r="J52" s="58"/>
      <c r="K52" s="80"/>
      <c r="L52" s="58"/>
      <c r="M52" s="58"/>
      <c r="N52" s="60"/>
      <c r="O52" s="155"/>
      <c r="P52" s="85"/>
      <c r="Q52" s="85"/>
      <c r="R52" s="58"/>
      <c r="S52" s="325"/>
      <c r="T52" s="540"/>
    </row>
    <row r="53" spans="1:20" ht="15.75" x14ac:dyDescent="0.25">
      <c r="A53" s="76"/>
      <c r="B53" s="70"/>
      <c r="C53" s="70"/>
      <c r="D53" s="70"/>
      <c r="E53" s="130"/>
      <c r="F53" s="130"/>
      <c r="G53" s="257"/>
      <c r="H53" s="257"/>
      <c r="I53" s="257"/>
      <c r="J53" s="257"/>
      <c r="K53" s="256"/>
      <c r="L53" s="257"/>
      <c r="M53" s="257"/>
      <c r="N53" s="258"/>
      <c r="O53" s="256"/>
      <c r="P53" s="257"/>
      <c r="Q53" s="257"/>
      <c r="R53" s="257"/>
      <c r="S53" s="318"/>
      <c r="T53" s="303"/>
    </row>
    <row r="54" spans="1:20" ht="15.75" x14ac:dyDescent="0.25">
      <c r="A54" s="24" t="s">
        <v>51</v>
      </c>
      <c r="B54" s="78" t="s">
        <v>321</v>
      </c>
      <c r="C54" s="553" t="s">
        <v>350</v>
      </c>
      <c r="D54" s="48" t="s">
        <v>23</v>
      </c>
      <c r="E54" s="108" t="s">
        <v>177</v>
      </c>
      <c r="F54" s="108" t="s">
        <v>177</v>
      </c>
      <c r="G54" s="102">
        <v>6</v>
      </c>
      <c r="H54" s="102">
        <v>6</v>
      </c>
      <c r="I54" s="102"/>
      <c r="J54" s="261"/>
      <c r="K54" s="262"/>
      <c r="L54" s="261"/>
      <c r="M54" s="261"/>
      <c r="N54" s="263"/>
      <c r="O54" s="102"/>
      <c r="P54" s="102"/>
      <c r="Q54" s="102">
        <v>6</v>
      </c>
      <c r="R54" s="261">
        <v>6</v>
      </c>
      <c r="S54" s="326">
        <f>SUM(G54:R56)</f>
        <v>24</v>
      </c>
      <c r="T54" s="313" t="s">
        <v>27</v>
      </c>
    </row>
    <row r="55" spans="1:20" ht="15.75" x14ac:dyDescent="0.25">
      <c r="A55" s="71"/>
      <c r="B55" s="70" t="s">
        <v>310</v>
      </c>
      <c r="C55" s="554"/>
      <c r="D55" s="70"/>
      <c r="E55" s="98"/>
      <c r="F55" s="98"/>
      <c r="G55" s="86"/>
      <c r="H55" s="86"/>
      <c r="I55" s="86"/>
      <c r="J55" s="264"/>
      <c r="K55" s="265"/>
      <c r="L55" s="264"/>
      <c r="M55" s="264"/>
      <c r="N55" s="413"/>
      <c r="O55" s="265"/>
      <c r="P55" s="264"/>
      <c r="Q55" s="264"/>
      <c r="R55" s="264"/>
      <c r="S55" s="327"/>
      <c r="T55" s="314" t="s">
        <v>52</v>
      </c>
    </row>
    <row r="56" spans="1:20" ht="15.75" x14ac:dyDescent="0.25">
      <c r="A56" s="71"/>
      <c r="B56" s="75"/>
      <c r="C56" s="75"/>
      <c r="D56" s="75"/>
      <c r="E56" s="107"/>
      <c r="F56" s="107"/>
      <c r="G56" s="83"/>
      <c r="H56" s="83"/>
      <c r="I56" s="83"/>
      <c r="J56" s="83"/>
      <c r="K56" s="94"/>
      <c r="L56" s="83"/>
      <c r="M56" s="83"/>
      <c r="N56" s="412"/>
      <c r="O56" s="94"/>
      <c r="P56" s="83"/>
      <c r="Q56" s="83"/>
      <c r="R56" s="83"/>
      <c r="S56" s="319"/>
      <c r="T56" s="302" t="s">
        <v>190</v>
      </c>
    </row>
    <row r="57" spans="1:20" ht="15.75" x14ac:dyDescent="0.25">
      <c r="A57" s="24" t="s">
        <v>53</v>
      </c>
      <c r="B57" s="91" t="s">
        <v>76</v>
      </c>
      <c r="C57" s="70" t="s">
        <v>199</v>
      </c>
      <c r="D57" s="21" t="s">
        <v>23</v>
      </c>
      <c r="E57" s="259" t="s">
        <v>39</v>
      </c>
      <c r="F57" s="259" t="s">
        <v>39</v>
      </c>
      <c r="G57" s="21">
        <v>3</v>
      </c>
      <c r="H57" s="21">
        <v>3</v>
      </c>
      <c r="I57" s="21">
        <v>3</v>
      </c>
      <c r="J57" s="260">
        <v>3</v>
      </c>
      <c r="K57" s="47"/>
      <c r="L57" s="21"/>
      <c r="M57" s="21"/>
      <c r="N57" s="21"/>
      <c r="O57" s="47">
        <v>3</v>
      </c>
      <c r="P57" s="21">
        <v>3</v>
      </c>
      <c r="Q57" s="21">
        <v>3</v>
      </c>
      <c r="R57" s="21">
        <v>3</v>
      </c>
      <c r="S57" s="320">
        <f>SUM(G57:R59)</f>
        <v>24</v>
      </c>
      <c r="T57" s="303" t="s">
        <v>27</v>
      </c>
    </row>
    <row r="58" spans="1:20" ht="15.75" x14ac:dyDescent="0.25">
      <c r="A58" s="71"/>
      <c r="B58" s="121" t="s">
        <v>192</v>
      </c>
      <c r="C58" s="70" t="s">
        <v>295</v>
      </c>
      <c r="D58" s="21"/>
      <c r="E58" s="96"/>
      <c r="F58" s="96"/>
      <c r="G58" s="64"/>
      <c r="H58" s="64"/>
      <c r="I58" s="64"/>
      <c r="J58" s="64"/>
      <c r="K58" s="63"/>
      <c r="L58" s="64"/>
      <c r="M58" s="64"/>
      <c r="N58" s="64"/>
      <c r="O58" s="63"/>
      <c r="P58" s="64"/>
      <c r="Q58" s="64"/>
      <c r="R58" s="64"/>
      <c r="S58" s="320"/>
      <c r="T58" s="298" t="s">
        <v>64</v>
      </c>
    </row>
    <row r="59" spans="1:20" ht="15.75" x14ac:dyDescent="0.25">
      <c r="A59" s="76"/>
      <c r="B59" s="75"/>
      <c r="C59" s="75"/>
      <c r="D59" s="75"/>
      <c r="E59" s="77"/>
      <c r="F59" s="77"/>
      <c r="G59" s="56"/>
      <c r="H59" s="56"/>
      <c r="I59" s="56"/>
      <c r="J59" s="56"/>
      <c r="K59" s="55"/>
      <c r="L59" s="56"/>
      <c r="M59" s="56"/>
      <c r="N59" s="56"/>
      <c r="O59" s="55"/>
      <c r="P59" s="56"/>
      <c r="Q59" s="56"/>
      <c r="R59" s="56"/>
      <c r="S59" s="323"/>
      <c r="T59" s="299"/>
    </row>
    <row r="60" spans="1:20" ht="15.75" x14ac:dyDescent="0.25">
      <c r="A60" s="71" t="s">
        <v>54</v>
      </c>
      <c r="B60" s="78" t="s">
        <v>77</v>
      </c>
      <c r="C60" s="560" t="s">
        <v>351</v>
      </c>
      <c r="D60" s="48" t="s">
        <v>23</v>
      </c>
      <c r="E60" s="79" t="s">
        <v>78</v>
      </c>
      <c r="F60" s="79" t="s">
        <v>78</v>
      </c>
      <c r="G60" s="38"/>
      <c r="H60" s="38"/>
      <c r="I60" s="38"/>
      <c r="J60" s="38"/>
      <c r="K60" s="37"/>
      <c r="L60" s="38"/>
      <c r="M60" s="38"/>
      <c r="N60" s="38"/>
      <c r="O60" s="37"/>
      <c r="P60" s="38"/>
      <c r="Q60" s="38"/>
      <c r="R60" s="38"/>
      <c r="S60" s="321">
        <f>SUM(G60:R62)</f>
        <v>24</v>
      </c>
      <c r="T60" s="301" t="s">
        <v>190</v>
      </c>
    </row>
    <row r="61" spans="1:20" ht="15.75" x14ac:dyDescent="0.25">
      <c r="A61" s="71"/>
      <c r="B61" s="121" t="s">
        <v>193</v>
      </c>
      <c r="C61" s="561"/>
      <c r="D61" s="21"/>
      <c r="E61" s="70"/>
      <c r="F61" s="112" t="s">
        <v>43</v>
      </c>
      <c r="G61" s="381"/>
      <c r="H61" s="381"/>
      <c r="I61" s="381"/>
      <c r="J61" s="381"/>
      <c r="K61" s="381">
        <v>3</v>
      </c>
      <c r="L61" s="381">
        <v>3</v>
      </c>
      <c r="M61" s="381">
        <v>3</v>
      </c>
      <c r="N61" s="381">
        <v>3</v>
      </c>
      <c r="O61" s="381">
        <v>3</v>
      </c>
      <c r="P61" s="381">
        <v>3</v>
      </c>
      <c r="Q61" s="381">
        <v>3</v>
      </c>
      <c r="R61" s="419">
        <v>3</v>
      </c>
      <c r="S61" s="320"/>
      <c r="T61" s="298" t="s">
        <v>27</v>
      </c>
    </row>
    <row r="62" spans="1:20" ht="15.75" x14ac:dyDescent="0.25">
      <c r="A62" s="76"/>
      <c r="B62" s="75"/>
      <c r="C62" s="75"/>
      <c r="D62" s="75"/>
      <c r="E62" s="77"/>
      <c r="F62" s="77" t="s">
        <v>257</v>
      </c>
      <c r="G62" s="56"/>
      <c r="H62" s="56"/>
      <c r="I62" s="56"/>
      <c r="J62" s="56"/>
      <c r="K62" s="55"/>
      <c r="L62" s="56"/>
      <c r="M62" s="56"/>
      <c r="N62" s="56"/>
      <c r="O62" s="55"/>
      <c r="P62" s="56"/>
      <c r="Q62" s="56"/>
      <c r="R62" s="56"/>
      <c r="S62" s="323"/>
      <c r="T62" s="302" t="s">
        <v>66</v>
      </c>
    </row>
    <row r="63" spans="1:20" ht="15.75" x14ac:dyDescent="0.25">
      <c r="A63" s="24" t="s">
        <v>55</v>
      </c>
      <c r="B63" s="78" t="s">
        <v>372</v>
      </c>
      <c r="C63" s="560" t="s">
        <v>351</v>
      </c>
      <c r="D63" s="48" t="s">
        <v>23</v>
      </c>
      <c r="E63" s="23" t="s">
        <v>78</v>
      </c>
      <c r="F63" s="23" t="s">
        <v>78</v>
      </c>
      <c r="G63" s="48"/>
      <c r="H63" s="48"/>
      <c r="I63" s="48"/>
      <c r="J63" s="48"/>
      <c r="K63" s="40"/>
      <c r="L63" s="48"/>
      <c r="M63" s="48">
        <v>4</v>
      </c>
      <c r="N63" s="48">
        <v>4</v>
      </c>
      <c r="O63" s="40">
        <v>4</v>
      </c>
      <c r="P63" s="48">
        <v>4</v>
      </c>
      <c r="Q63" s="48">
        <v>4</v>
      </c>
      <c r="R63" s="48">
        <v>4</v>
      </c>
      <c r="S63" s="321">
        <f>SUM(G63:R65)</f>
        <v>24</v>
      </c>
      <c r="T63" s="539" t="s">
        <v>355</v>
      </c>
    </row>
    <row r="64" spans="1:20" ht="15.75" x14ac:dyDescent="0.25">
      <c r="A64" s="71"/>
      <c r="B64" s="121" t="s">
        <v>194</v>
      </c>
      <c r="C64" s="561"/>
      <c r="D64" s="21"/>
      <c r="E64" s="82"/>
      <c r="F64" s="82"/>
      <c r="G64" s="58"/>
      <c r="H64" s="58"/>
      <c r="I64" s="58"/>
      <c r="J64" s="58"/>
      <c r="K64" s="80"/>
      <c r="L64" s="58"/>
      <c r="M64" s="58"/>
      <c r="N64" s="58"/>
      <c r="O64" s="155"/>
      <c r="P64" s="85"/>
      <c r="Q64" s="85"/>
      <c r="R64" s="85"/>
      <c r="S64" s="325"/>
      <c r="T64" s="540"/>
    </row>
    <row r="65" spans="1:20" ht="15.75" x14ac:dyDescent="0.25">
      <c r="A65" s="76"/>
      <c r="B65" s="75"/>
      <c r="C65" s="75"/>
      <c r="D65" s="75"/>
      <c r="E65" s="107"/>
      <c r="F65" s="75"/>
      <c r="G65" s="52"/>
      <c r="H65" s="52"/>
      <c r="I65" s="52"/>
      <c r="J65" s="52"/>
      <c r="K65" s="53"/>
      <c r="L65" s="52"/>
      <c r="M65" s="52"/>
      <c r="N65" s="52"/>
      <c r="O65" s="53"/>
      <c r="P65" s="52"/>
      <c r="Q65" s="52"/>
      <c r="R65" s="52"/>
      <c r="S65" s="323"/>
      <c r="T65" s="302"/>
    </row>
    <row r="66" spans="1:20" ht="15.75" x14ac:dyDescent="0.25">
      <c r="A66" s="89"/>
      <c r="B66" s="186"/>
      <c r="C66" s="88"/>
      <c r="D66" s="90"/>
      <c r="E66" s="151"/>
      <c r="F66" s="151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331"/>
    </row>
    <row r="67" spans="1:20" ht="15.75" x14ac:dyDescent="0.25">
      <c r="A67" s="149"/>
      <c r="B67" s="67"/>
      <c r="C67" s="67"/>
      <c r="D67" s="67"/>
      <c r="E67" s="67"/>
      <c r="F67" s="67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</row>
    <row r="68" spans="1:20" ht="15.75" x14ac:dyDescent="0.25">
      <c r="A68" s="543" t="s">
        <v>2</v>
      </c>
      <c r="B68" s="506" t="s">
        <v>3</v>
      </c>
      <c r="C68" s="69" t="s">
        <v>4</v>
      </c>
      <c r="D68" s="69" t="s">
        <v>5</v>
      </c>
      <c r="E68" s="69" t="s">
        <v>205</v>
      </c>
      <c r="F68" s="69" t="s">
        <v>6</v>
      </c>
      <c r="G68" s="506" t="s">
        <v>7</v>
      </c>
      <c r="H68" s="506"/>
      <c r="I68" s="506"/>
      <c r="J68" s="506"/>
      <c r="K68" s="506"/>
      <c r="L68" s="506"/>
      <c r="M68" s="506"/>
      <c r="N68" s="506"/>
      <c r="O68" s="506"/>
      <c r="P68" s="506"/>
      <c r="Q68" s="506"/>
      <c r="R68" s="506"/>
      <c r="S68" s="565"/>
      <c r="T68" s="538" t="s">
        <v>40</v>
      </c>
    </row>
    <row r="69" spans="1:20" ht="15.75" x14ac:dyDescent="0.25">
      <c r="A69" s="544"/>
      <c r="B69" s="506"/>
      <c r="C69" s="546" t="s">
        <v>9</v>
      </c>
      <c r="D69" s="546" t="s">
        <v>10</v>
      </c>
      <c r="E69" s="425" t="s">
        <v>206</v>
      </c>
      <c r="F69" s="425" t="s">
        <v>11</v>
      </c>
      <c r="G69" s="508" t="s">
        <v>12</v>
      </c>
      <c r="H69" s="558"/>
      <c r="I69" s="558"/>
      <c r="J69" s="558"/>
      <c r="K69" s="557" t="s">
        <v>13</v>
      </c>
      <c r="L69" s="558"/>
      <c r="M69" s="558"/>
      <c r="N69" s="558"/>
      <c r="O69" s="557" t="s">
        <v>14</v>
      </c>
      <c r="P69" s="558"/>
      <c r="Q69" s="558"/>
      <c r="R69" s="558"/>
      <c r="S69" s="559" t="s">
        <v>15</v>
      </c>
      <c r="T69" s="538"/>
    </row>
    <row r="70" spans="1:20" ht="15.75" x14ac:dyDescent="0.25">
      <c r="A70" s="545"/>
      <c r="B70" s="506"/>
      <c r="C70" s="547"/>
      <c r="D70" s="547"/>
      <c r="E70" s="426" t="s">
        <v>200</v>
      </c>
      <c r="F70" s="426" t="s">
        <v>16</v>
      </c>
      <c r="G70" s="421" t="s">
        <v>17</v>
      </c>
      <c r="H70" s="421" t="s">
        <v>18</v>
      </c>
      <c r="I70" s="421" t="s">
        <v>19</v>
      </c>
      <c r="J70" s="421" t="s">
        <v>20</v>
      </c>
      <c r="K70" s="422" t="s">
        <v>17</v>
      </c>
      <c r="L70" s="421" t="s">
        <v>18</v>
      </c>
      <c r="M70" s="421" t="s">
        <v>19</v>
      </c>
      <c r="N70" s="421" t="s">
        <v>20</v>
      </c>
      <c r="O70" s="422" t="s">
        <v>17</v>
      </c>
      <c r="P70" s="421" t="s">
        <v>18</v>
      </c>
      <c r="Q70" s="421" t="s">
        <v>19</v>
      </c>
      <c r="R70" s="421" t="s">
        <v>20</v>
      </c>
      <c r="S70" s="559"/>
      <c r="T70" s="538"/>
    </row>
    <row r="71" spans="1:20" ht="15.75" x14ac:dyDescent="0.25">
      <c r="A71" s="24" t="s">
        <v>57</v>
      </c>
      <c r="B71" s="78" t="s">
        <v>259</v>
      </c>
      <c r="C71" s="560" t="s">
        <v>351</v>
      </c>
      <c r="D71" s="23" t="s">
        <v>23</v>
      </c>
      <c r="E71" s="108" t="s">
        <v>29</v>
      </c>
      <c r="F71" s="23" t="s">
        <v>29</v>
      </c>
      <c r="G71" s="48">
        <v>4</v>
      </c>
      <c r="H71" s="48">
        <v>4</v>
      </c>
      <c r="I71" s="48"/>
      <c r="J71" s="48"/>
      <c r="K71" s="40"/>
      <c r="L71" s="48"/>
      <c r="M71" s="48"/>
      <c r="N71" s="48"/>
      <c r="O71" s="40">
        <v>4</v>
      </c>
      <c r="P71" s="48">
        <v>4</v>
      </c>
      <c r="Q71" s="48">
        <v>4</v>
      </c>
      <c r="R71" s="48">
        <v>4</v>
      </c>
      <c r="S71" s="321">
        <f>SUM(G71:R73)</f>
        <v>26</v>
      </c>
      <c r="T71" s="300" t="s">
        <v>27</v>
      </c>
    </row>
    <row r="72" spans="1:20" ht="15.75" x14ac:dyDescent="0.25">
      <c r="A72" s="71"/>
      <c r="B72" s="70" t="s">
        <v>264</v>
      </c>
      <c r="C72" s="561"/>
      <c r="D72" s="70"/>
      <c r="E72" s="98"/>
      <c r="F72" s="443" t="s">
        <v>492</v>
      </c>
      <c r="G72" s="444">
        <v>2</v>
      </c>
      <c r="H72" s="44"/>
      <c r="I72" s="44"/>
      <c r="J72" s="44"/>
      <c r="K72" s="45"/>
      <c r="L72" s="44"/>
      <c r="M72" s="44"/>
      <c r="N72" s="44"/>
      <c r="O72" s="45"/>
      <c r="P72" s="44"/>
      <c r="Q72" s="44"/>
      <c r="R72" s="44"/>
      <c r="S72" s="320"/>
      <c r="T72" s="401" t="s">
        <v>73</v>
      </c>
    </row>
    <row r="73" spans="1:20" ht="15.75" x14ac:dyDescent="0.25">
      <c r="A73" s="71"/>
      <c r="B73" s="75"/>
      <c r="C73" s="75"/>
      <c r="D73" s="75"/>
      <c r="E73" s="107"/>
      <c r="F73" s="75"/>
      <c r="G73" s="52"/>
      <c r="H73" s="52"/>
      <c r="I73" s="52"/>
      <c r="J73" s="52"/>
      <c r="K73" s="53"/>
      <c r="L73" s="52"/>
      <c r="M73" s="52"/>
      <c r="N73" s="52"/>
      <c r="O73" s="53"/>
      <c r="P73" s="52"/>
      <c r="Q73" s="52"/>
      <c r="R73" s="52"/>
      <c r="S73" s="323"/>
      <c r="T73" s="316" t="s">
        <v>190</v>
      </c>
    </row>
    <row r="74" spans="1:20" ht="15.75" x14ac:dyDescent="0.25">
      <c r="A74" s="24" t="s">
        <v>58</v>
      </c>
      <c r="B74" s="78" t="s">
        <v>323</v>
      </c>
      <c r="C74" s="560" t="s">
        <v>351</v>
      </c>
      <c r="D74" s="23" t="s">
        <v>23</v>
      </c>
      <c r="E74" s="108" t="s">
        <v>26</v>
      </c>
      <c r="F74" t="s">
        <v>26</v>
      </c>
      <c r="G74" s="420">
        <v>5</v>
      </c>
      <c r="H74" s="420">
        <v>5</v>
      </c>
      <c r="I74" s="420">
        <v>5</v>
      </c>
      <c r="J74" s="416">
        <v>5</v>
      </c>
      <c r="K74" s="40"/>
      <c r="L74" s="48"/>
      <c r="M74" s="48"/>
      <c r="N74" s="48"/>
      <c r="O74" s="40"/>
      <c r="P74" s="48"/>
      <c r="Q74" s="48"/>
      <c r="R74" s="48"/>
      <c r="S74" s="321">
        <f>SUM(G74:R76)</f>
        <v>27</v>
      </c>
      <c r="T74" s="300" t="s">
        <v>27</v>
      </c>
    </row>
    <row r="75" spans="1:20" ht="15.75" x14ac:dyDescent="0.25">
      <c r="A75" s="71"/>
      <c r="B75" s="70" t="s">
        <v>324</v>
      </c>
      <c r="C75" s="561"/>
      <c r="D75" s="70"/>
      <c r="E75" s="98"/>
      <c r="F75" s="98" t="s">
        <v>37</v>
      </c>
      <c r="G75" s="86"/>
      <c r="H75" s="86"/>
      <c r="I75" s="86"/>
      <c r="J75" s="86"/>
      <c r="K75" s="344"/>
      <c r="L75" s="86">
        <v>5</v>
      </c>
      <c r="M75" s="86"/>
      <c r="N75" s="86"/>
      <c r="O75" s="344"/>
      <c r="P75" s="86"/>
      <c r="Q75" s="86"/>
      <c r="R75" s="86"/>
      <c r="S75" s="320"/>
      <c r="T75" s="315" t="s">
        <v>56</v>
      </c>
    </row>
    <row r="76" spans="1:20" ht="15.75" x14ac:dyDescent="0.25">
      <c r="A76" s="76"/>
      <c r="B76" s="75"/>
      <c r="C76" s="75"/>
      <c r="D76" s="75"/>
      <c r="E76" s="107"/>
      <c r="F76" s="439" t="s">
        <v>492</v>
      </c>
      <c r="G76" s="52"/>
      <c r="H76" s="52"/>
      <c r="I76" s="52"/>
      <c r="J76" s="440">
        <v>2</v>
      </c>
      <c r="K76" s="53"/>
      <c r="L76" s="52"/>
      <c r="M76" s="52"/>
      <c r="N76" s="52"/>
      <c r="O76" s="53"/>
      <c r="P76" s="52"/>
      <c r="Q76" s="52"/>
      <c r="R76" s="52"/>
      <c r="S76" s="323"/>
      <c r="T76" s="316"/>
    </row>
    <row r="77" spans="1:20" ht="15.75" x14ac:dyDescent="0.25">
      <c r="A77" s="24" t="s">
        <v>60</v>
      </c>
      <c r="B77" s="78" t="s">
        <v>79</v>
      </c>
      <c r="C77" s="423" t="s">
        <v>421</v>
      </c>
      <c r="D77" s="48" t="s">
        <v>23</v>
      </c>
      <c r="E77" s="81" t="s">
        <v>80</v>
      </c>
      <c r="F77" s="97" t="s">
        <v>80</v>
      </c>
      <c r="G77" s="191"/>
      <c r="H77" s="190"/>
      <c r="I77" s="190"/>
      <c r="J77" s="190"/>
      <c r="K77" s="191"/>
      <c r="L77" s="190"/>
      <c r="M77" s="190"/>
      <c r="N77" s="190"/>
      <c r="O77" s="191"/>
      <c r="P77" s="190"/>
      <c r="Q77" s="190"/>
      <c r="R77" s="190"/>
      <c r="S77" s="325">
        <v>24</v>
      </c>
      <c r="T77" s="300"/>
    </row>
    <row r="78" spans="1:20" ht="15.75" x14ac:dyDescent="0.25">
      <c r="A78" s="71"/>
      <c r="B78" s="297" t="s">
        <v>336</v>
      </c>
      <c r="C78" s="424"/>
      <c r="D78" s="70"/>
      <c r="E78" s="130"/>
      <c r="F78" s="96"/>
      <c r="G78" s="64"/>
      <c r="H78" s="64"/>
      <c r="I78" s="64"/>
      <c r="J78" s="64"/>
      <c r="K78" s="63"/>
      <c r="L78" s="64"/>
      <c r="M78" s="64"/>
      <c r="N78" s="64"/>
      <c r="O78" s="63"/>
      <c r="P78" s="64"/>
      <c r="Q78" s="64"/>
      <c r="R78" s="64"/>
      <c r="S78" s="320"/>
      <c r="T78" s="53"/>
    </row>
    <row r="79" spans="1:20" ht="15.75" x14ac:dyDescent="0.25">
      <c r="A79" s="569" t="s">
        <v>61</v>
      </c>
      <c r="B79" s="78" t="s">
        <v>400</v>
      </c>
      <c r="C79" s="423" t="s">
        <v>421</v>
      </c>
      <c r="D79" s="48" t="s">
        <v>23</v>
      </c>
      <c r="E79" s="79" t="s">
        <v>177</v>
      </c>
      <c r="F79" s="23" t="s">
        <v>173</v>
      </c>
      <c r="G79" s="428"/>
      <c r="H79" s="428"/>
      <c r="I79" s="428"/>
      <c r="J79" s="428"/>
      <c r="K79" s="40"/>
      <c r="L79" s="48"/>
      <c r="M79" s="48"/>
      <c r="N79" s="48"/>
      <c r="O79" s="429"/>
      <c r="P79" s="428"/>
      <c r="Q79" s="428"/>
      <c r="R79" s="430"/>
      <c r="S79" s="433">
        <f>SUM(G79:R81)</f>
        <v>14</v>
      </c>
      <c r="T79" s="298" t="s">
        <v>27</v>
      </c>
    </row>
    <row r="80" spans="1:20" ht="15.75" x14ac:dyDescent="0.25">
      <c r="A80" s="570"/>
      <c r="B80" s="70" t="s">
        <v>402</v>
      </c>
      <c r="C80" s="424"/>
      <c r="D80" s="21"/>
      <c r="E80" s="130"/>
      <c r="F80" s="70" t="s">
        <v>222</v>
      </c>
      <c r="G80" s="21">
        <v>3</v>
      </c>
      <c r="H80" s="21">
        <v>3</v>
      </c>
      <c r="I80" s="21">
        <v>3</v>
      </c>
      <c r="J80" s="21">
        <v>3</v>
      </c>
      <c r="K80" s="63"/>
      <c r="L80" s="64"/>
      <c r="M80" s="64"/>
      <c r="N80" s="64"/>
      <c r="O80" s="63"/>
      <c r="P80" s="64"/>
      <c r="Q80" s="64"/>
      <c r="R80" s="64"/>
      <c r="S80" s="320"/>
      <c r="T80" s="298" t="s">
        <v>44</v>
      </c>
    </row>
    <row r="81" spans="1:20" ht="15.75" x14ac:dyDescent="0.25">
      <c r="A81" s="71"/>
      <c r="B81" s="70"/>
      <c r="C81" s="70"/>
      <c r="D81" s="70"/>
      <c r="E81" s="130"/>
      <c r="F81" s="441" t="s">
        <v>492</v>
      </c>
      <c r="G81" s="21"/>
      <c r="H81" s="442">
        <v>2</v>
      </c>
      <c r="I81" s="21"/>
      <c r="J81" s="21"/>
      <c r="K81" s="63"/>
      <c r="L81" s="64"/>
      <c r="M81" s="64"/>
      <c r="N81" s="64"/>
      <c r="O81" s="63"/>
      <c r="P81" s="64"/>
      <c r="Q81" s="64"/>
      <c r="R81" s="64"/>
      <c r="S81" s="320"/>
      <c r="T81" s="298" t="s">
        <v>190</v>
      </c>
    </row>
    <row r="82" spans="1:20" ht="15.75" x14ac:dyDescent="0.25">
      <c r="A82" s="24" t="s">
        <v>65</v>
      </c>
      <c r="B82" s="342" t="s">
        <v>414</v>
      </c>
      <c r="C82" s="434" t="s">
        <v>421</v>
      </c>
      <c r="D82" s="23" t="s">
        <v>23</v>
      </c>
      <c r="E82" s="108" t="s">
        <v>29</v>
      </c>
      <c r="F82" s="79" t="s">
        <v>29</v>
      </c>
      <c r="G82" s="38"/>
      <c r="H82" s="38"/>
      <c r="I82" s="38">
        <v>4</v>
      </c>
      <c r="J82" s="38">
        <v>4</v>
      </c>
      <c r="K82" s="37">
        <v>4</v>
      </c>
      <c r="L82" s="38">
        <v>4</v>
      </c>
      <c r="M82" s="38">
        <v>4</v>
      </c>
      <c r="N82" s="38">
        <v>4</v>
      </c>
      <c r="O82" s="40"/>
      <c r="P82" s="48"/>
      <c r="Q82" s="48"/>
      <c r="R82" s="48"/>
      <c r="S82" s="321">
        <f>SUM(G82:R83)</f>
        <v>24</v>
      </c>
      <c r="T82" s="40" t="s">
        <v>27</v>
      </c>
    </row>
    <row r="83" spans="1:20" ht="15.75" x14ac:dyDescent="0.25">
      <c r="A83" s="76"/>
      <c r="B83" s="227" t="s">
        <v>403</v>
      </c>
      <c r="C83" s="436"/>
      <c r="D83" s="75"/>
      <c r="E83" s="107"/>
      <c r="F83" s="445"/>
      <c r="G83" s="446"/>
      <c r="H83" s="447"/>
      <c r="I83" s="447"/>
      <c r="J83" s="446"/>
      <c r="K83" s="53"/>
      <c r="L83" s="52"/>
      <c r="M83" s="52"/>
      <c r="N83" s="52"/>
      <c r="O83" s="53"/>
      <c r="P83" s="52"/>
      <c r="Q83" s="52"/>
      <c r="R83" s="52"/>
      <c r="S83" s="323"/>
      <c r="T83" s="53" t="s">
        <v>70</v>
      </c>
    </row>
    <row r="84" spans="1:20" ht="15.75" x14ac:dyDescent="0.25">
      <c r="A84" s="71" t="s">
        <v>67</v>
      </c>
      <c r="B84" s="343" t="s">
        <v>477</v>
      </c>
      <c r="C84" s="435" t="s">
        <v>421</v>
      </c>
      <c r="D84" s="70" t="s">
        <v>23</v>
      </c>
      <c r="E84" s="98" t="s">
        <v>326</v>
      </c>
      <c r="F84" s="70" t="s">
        <v>326</v>
      </c>
      <c r="G84" s="21">
        <v>3</v>
      </c>
      <c r="H84" s="21">
        <v>3</v>
      </c>
      <c r="I84" s="21">
        <v>3</v>
      </c>
      <c r="J84" s="21">
        <v>3</v>
      </c>
      <c r="K84" s="47"/>
      <c r="L84" s="21"/>
      <c r="M84" s="21"/>
      <c r="N84" s="21"/>
      <c r="O84" s="47"/>
      <c r="P84" s="21"/>
      <c r="Q84" s="21"/>
      <c r="R84" s="21"/>
      <c r="S84" s="320">
        <f>SUM(G84:R85)</f>
        <v>17</v>
      </c>
      <c r="T84" s="47" t="s">
        <v>27</v>
      </c>
    </row>
    <row r="85" spans="1:20" ht="15.75" x14ac:dyDescent="0.25">
      <c r="A85" s="71"/>
      <c r="B85" s="297" t="s">
        <v>405</v>
      </c>
      <c r="C85" s="424"/>
      <c r="D85" s="70"/>
      <c r="E85" s="98"/>
      <c r="F85" s="70" t="s">
        <v>37</v>
      </c>
      <c r="G85" s="21"/>
      <c r="H85" s="21"/>
      <c r="I85" s="21"/>
      <c r="J85" s="21"/>
      <c r="K85" s="47"/>
      <c r="L85" s="21"/>
      <c r="M85" s="21">
        <v>5</v>
      </c>
      <c r="N85" s="21"/>
      <c r="O85" s="47"/>
      <c r="P85" s="21"/>
      <c r="Q85" s="21"/>
      <c r="R85" s="21"/>
      <c r="S85" s="320"/>
      <c r="T85" s="47" t="s">
        <v>74</v>
      </c>
    </row>
    <row r="86" spans="1:20" ht="15.75" x14ac:dyDescent="0.25">
      <c r="A86" s="71"/>
      <c r="B86" s="297"/>
      <c r="C86" s="435"/>
      <c r="D86" s="70"/>
      <c r="E86" s="98"/>
      <c r="F86" s="441" t="s">
        <v>493</v>
      </c>
      <c r="G86" s="442"/>
      <c r="H86" s="442"/>
      <c r="I86" s="442"/>
      <c r="J86" s="442"/>
      <c r="K86" s="47"/>
      <c r="L86" s="21"/>
      <c r="M86" s="21"/>
      <c r="N86" s="21"/>
      <c r="O86" s="47"/>
      <c r="P86" s="21"/>
      <c r="Q86" s="21"/>
      <c r="R86" s="438"/>
      <c r="S86" s="320"/>
      <c r="T86" s="47"/>
    </row>
    <row r="87" spans="1:20" ht="15.75" x14ac:dyDescent="0.25">
      <c r="A87" s="24" t="s">
        <v>68</v>
      </c>
      <c r="B87" s="342" t="s">
        <v>415</v>
      </c>
      <c r="C87" s="423" t="s">
        <v>421</v>
      </c>
      <c r="D87" s="23" t="s">
        <v>23</v>
      </c>
      <c r="E87" s="108" t="s">
        <v>43</v>
      </c>
      <c r="F87" s="81" t="s">
        <v>43</v>
      </c>
      <c r="G87" s="102"/>
      <c r="H87" s="102"/>
      <c r="I87" s="102"/>
      <c r="J87" s="102"/>
      <c r="K87" s="43"/>
      <c r="L87" s="102"/>
      <c r="M87" s="102"/>
      <c r="N87" s="102"/>
      <c r="O87" s="43"/>
      <c r="P87" s="102"/>
      <c r="Q87" s="102"/>
      <c r="R87" s="380"/>
      <c r="S87" s="321">
        <f>SUM(G87:R89)</f>
        <v>22</v>
      </c>
      <c r="T87" s="40" t="s">
        <v>27</v>
      </c>
    </row>
    <row r="88" spans="1:20" ht="15.75" x14ac:dyDescent="0.25">
      <c r="A88" s="71"/>
      <c r="B88" s="297" t="s">
        <v>407</v>
      </c>
      <c r="C88" s="424"/>
      <c r="D88" s="70"/>
      <c r="E88" s="341" t="s">
        <v>399</v>
      </c>
      <c r="F88" s="70" t="s">
        <v>257</v>
      </c>
      <c r="G88" s="21">
        <v>2</v>
      </c>
      <c r="H88" s="21">
        <v>2</v>
      </c>
      <c r="I88" s="21">
        <v>2</v>
      </c>
      <c r="J88" s="21">
        <v>2</v>
      </c>
      <c r="K88" s="47"/>
      <c r="L88" s="21"/>
      <c r="M88" s="21">
        <v>2</v>
      </c>
      <c r="N88" s="21">
        <v>2</v>
      </c>
      <c r="O88" s="47">
        <v>2</v>
      </c>
      <c r="P88" s="21">
        <v>2</v>
      </c>
      <c r="Q88" s="21">
        <v>2</v>
      </c>
      <c r="R88" s="21">
        <v>2</v>
      </c>
      <c r="S88" s="320"/>
      <c r="T88" s="298" t="s">
        <v>30</v>
      </c>
    </row>
    <row r="89" spans="1:20" ht="15.75" x14ac:dyDescent="0.25">
      <c r="A89" s="71"/>
      <c r="B89" s="227"/>
      <c r="C89" s="427"/>
      <c r="D89" s="75"/>
      <c r="E89" s="107"/>
      <c r="F89" s="439" t="s">
        <v>492</v>
      </c>
      <c r="G89" s="52"/>
      <c r="H89" s="52"/>
      <c r="I89" s="440">
        <v>2</v>
      </c>
      <c r="J89" s="52"/>
      <c r="K89" s="94"/>
      <c r="L89" s="83"/>
      <c r="M89" s="83"/>
      <c r="N89" s="83"/>
      <c r="O89" s="53"/>
      <c r="P89" s="52"/>
      <c r="Q89" s="52"/>
      <c r="R89" s="52"/>
      <c r="S89" s="323"/>
      <c r="T89" s="299" t="s">
        <v>190</v>
      </c>
    </row>
    <row r="90" spans="1:20" ht="15.75" x14ac:dyDescent="0.25">
      <c r="A90" s="24" t="s">
        <v>356</v>
      </c>
      <c r="B90" s="343" t="s">
        <v>81</v>
      </c>
      <c r="C90" s="424"/>
      <c r="D90" s="70" t="s">
        <v>478</v>
      </c>
      <c r="E90" s="98" t="s">
        <v>26</v>
      </c>
      <c r="F90" s="70" t="s">
        <v>257</v>
      </c>
      <c r="G90" s="21"/>
      <c r="H90" s="21"/>
      <c r="I90" s="21"/>
      <c r="J90" s="21"/>
      <c r="K90" s="344">
        <v>2</v>
      </c>
      <c r="L90" s="86">
        <v>2</v>
      </c>
      <c r="M90" s="86"/>
      <c r="N90" s="86"/>
      <c r="O90" s="47"/>
      <c r="P90" s="21"/>
      <c r="Q90" s="21"/>
      <c r="R90" s="21"/>
      <c r="S90" s="320"/>
      <c r="T90" s="298"/>
    </row>
    <row r="91" spans="1:20" ht="15.75" x14ac:dyDescent="0.25">
      <c r="A91" s="71"/>
      <c r="B91" s="297"/>
      <c r="C91" s="424"/>
      <c r="D91" s="70"/>
      <c r="E91" s="98"/>
      <c r="F91" s="70"/>
      <c r="G91" s="21"/>
      <c r="H91" s="21"/>
      <c r="I91" s="21"/>
      <c r="J91" s="21"/>
      <c r="K91" s="344"/>
      <c r="L91" s="86"/>
      <c r="M91" s="86"/>
      <c r="N91" s="86"/>
      <c r="O91" s="47"/>
      <c r="P91" s="21"/>
      <c r="Q91" s="21"/>
      <c r="R91" s="21"/>
      <c r="S91" s="320"/>
      <c r="T91" s="298"/>
    </row>
    <row r="92" spans="1:20" ht="15.75" x14ac:dyDescent="0.25">
      <c r="A92" s="24" t="s">
        <v>72</v>
      </c>
      <c r="B92" s="78" t="s">
        <v>260</v>
      </c>
      <c r="C92" s="23"/>
      <c r="D92" s="23" t="s">
        <v>23</v>
      </c>
      <c r="E92" s="108" t="s">
        <v>39</v>
      </c>
      <c r="F92" s="23" t="s">
        <v>39</v>
      </c>
      <c r="G92" s="48"/>
      <c r="H92" s="48"/>
      <c r="I92" s="48"/>
      <c r="J92" s="48"/>
      <c r="K92" s="40">
        <v>3</v>
      </c>
      <c r="L92" s="48">
        <v>3</v>
      </c>
      <c r="M92" s="48">
        <v>3</v>
      </c>
      <c r="N92" s="48">
        <v>3</v>
      </c>
      <c r="O92" s="40"/>
      <c r="P92" s="48"/>
      <c r="Q92" s="48"/>
      <c r="R92" s="48"/>
      <c r="S92" s="433">
        <f>SUM(G92:R93)</f>
        <v>12</v>
      </c>
      <c r="T92" s="300" t="s">
        <v>284</v>
      </c>
    </row>
    <row r="93" spans="1:20" ht="15.75" x14ac:dyDescent="0.25">
      <c r="A93" s="71"/>
      <c r="B93" s="70"/>
      <c r="C93" s="70"/>
      <c r="D93" s="70"/>
      <c r="E93" s="82"/>
      <c r="F93" s="73" t="s">
        <v>173</v>
      </c>
      <c r="G93" s="58"/>
      <c r="H93" s="58"/>
      <c r="I93" s="58"/>
      <c r="J93" s="58"/>
      <c r="K93" s="431"/>
      <c r="L93" s="432"/>
      <c r="M93" s="432"/>
      <c r="N93" s="432"/>
      <c r="O93" s="45"/>
      <c r="P93" s="44"/>
      <c r="Q93" s="44"/>
      <c r="R93" s="44"/>
      <c r="S93" s="320"/>
      <c r="T93" s="298"/>
    </row>
    <row r="94" spans="1:20" ht="15.75" x14ac:dyDescent="0.25">
      <c r="A94" s="566" t="s">
        <v>401</v>
      </c>
      <c r="B94" s="567"/>
      <c r="C94" s="567"/>
      <c r="D94" s="567"/>
      <c r="E94" s="567"/>
      <c r="F94" s="568"/>
      <c r="G94" s="357">
        <f t="shared" ref="G94:R94" si="0">SUM(G6:G32)+SUM(G39:G65)+SUM(G71:G93)</f>
        <v>42</v>
      </c>
      <c r="H94" s="357">
        <f t="shared" si="0"/>
        <v>42</v>
      </c>
      <c r="I94" s="357">
        <f t="shared" si="0"/>
        <v>42</v>
      </c>
      <c r="J94" s="357">
        <f t="shared" si="0"/>
        <v>42</v>
      </c>
      <c r="K94" s="357">
        <f t="shared" si="0"/>
        <v>40</v>
      </c>
      <c r="L94" s="357">
        <f t="shared" si="0"/>
        <v>40</v>
      </c>
      <c r="M94" s="357">
        <f t="shared" si="0"/>
        <v>40</v>
      </c>
      <c r="N94" s="357">
        <f t="shared" si="0"/>
        <v>40</v>
      </c>
      <c r="O94" s="357">
        <f t="shared" si="0"/>
        <v>40</v>
      </c>
      <c r="P94" s="357">
        <f t="shared" si="0"/>
        <v>40</v>
      </c>
      <c r="Q94" s="357">
        <f t="shared" si="0"/>
        <v>40</v>
      </c>
      <c r="R94" s="357">
        <f t="shared" si="0"/>
        <v>40</v>
      </c>
      <c r="S94" s="357">
        <f>SUM(S6:S32)+SUM(S39:S62)+SUM(S63:S89)+SUM(S92:S93)</f>
        <v>508</v>
      </c>
      <c r="T94" s="374"/>
    </row>
    <row r="95" spans="1:20" ht="15.75" x14ac:dyDescent="0.25">
      <c r="A95" s="89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 t="s">
        <v>420</v>
      </c>
      <c r="P95" s="65"/>
      <c r="Q95" s="65"/>
      <c r="R95" s="65"/>
      <c r="S95" s="65"/>
      <c r="T95" s="65"/>
    </row>
    <row r="96" spans="1:20" ht="15.75" x14ac:dyDescent="0.25">
      <c r="A96" s="89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 t="s">
        <v>82</v>
      </c>
      <c r="P96" s="65"/>
      <c r="Q96" s="65"/>
      <c r="R96" s="65"/>
      <c r="S96" s="65"/>
      <c r="T96" s="65"/>
    </row>
    <row r="97" spans="1:20" ht="15.75" x14ac:dyDescent="0.25">
      <c r="A97" s="89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</row>
    <row r="98" spans="1:20" ht="15.75" x14ac:dyDescent="0.25">
      <c r="A98" s="66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101" t="s">
        <v>283</v>
      </c>
      <c r="P98" s="65"/>
      <c r="Q98" s="65"/>
      <c r="R98" s="65"/>
      <c r="S98" s="65"/>
      <c r="T98" s="65"/>
    </row>
    <row r="99" spans="1:20" ht="15.75" x14ac:dyDescent="0.25">
      <c r="A99" s="66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101" t="s">
        <v>277</v>
      </c>
      <c r="P99" s="65"/>
      <c r="Q99" s="65"/>
      <c r="R99" s="65"/>
      <c r="S99" s="65"/>
      <c r="T99" s="65"/>
    </row>
  </sheetData>
  <mergeCells count="53">
    <mergeCell ref="C71:C72"/>
    <mergeCell ref="C74:C75"/>
    <mergeCell ref="A79:A80"/>
    <mergeCell ref="A94:F94"/>
    <mergeCell ref="O2:S2"/>
    <mergeCell ref="A68:A70"/>
    <mergeCell ref="B68:B70"/>
    <mergeCell ref="G68:S68"/>
    <mergeCell ref="C51:C52"/>
    <mergeCell ref="O37:R37"/>
    <mergeCell ref="S37:S38"/>
    <mergeCell ref="C39:C40"/>
    <mergeCell ref="C42:C43"/>
    <mergeCell ref="C45:C46"/>
    <mergeCell ref="C48:C49"/>
    <mergeCell ref="C30:C31"/>
    <mergeCell ref="T68:T70"/>
    <mergeCell ref="C69:C70"/>
    <mergeCell ref="D69:D70"/>
    <mergeCell ref="G69:J69"/>
    <mergeCell ref="K69:N69"/>
    <mergeCell ref="O69:R69"/>
    <mergeCell ref="S69:S70"/>
    <mergeCell ref="T51:T52"/>
    <mergeCell ref="C54:C55"/>
    <mergeCell ref="C60:C61"/>
    <mergeCell ref="C63:C64"/>
    <mergeCell ref="T63:T64"/>
    <mergeCell ref="T18:T19"/>
    <mergeCell ref="T3:T5"/>
    <mergeCell ref="T30:T32"/>
    <mergeCell ref="A36:A38"/>
    <mergeCell ref="B36:B38"/>
    <mergeCell ref="G36:S36"/>
    <mergeCell ref="T36:T38"/>
    <mergeCell ref="C37:C38"/>
    <mergeCell ref="D37:D38"/>
    <mergeCell ref="G37:J37"/>
    <mergeCell ref="K37:N37"/>
    <mergeCell ref="C27:C28"/>
    <mergeCell ref="C6:C8"/>
    <mergeCell ref="C9:C10"/>
    <mergeCell ref="C12:C13"/>
    <mergeCell ref="A1:A2"/>
    <mergeCell ref="A3:A5"/>
    <mergeCell ref="B3:B5"/>
    <mergeCell ref="G3:S3"/>
    <mergeCell ref="C4:C5"/>
    <mergeCell ref="D4:D5"/>
    <mergeCell ref="G4:J4"/>
    <mergeCell ref="K4:N4"/>
    <mergeCell ref="O4:R4"/>
    <mergeCell ref="S4:S5"/>
  </mergeCells>
  <pageMargins left="0.65" right="0.70866141732283472" top="0.54" bottom="0.66" header="0.31496062992125984" footer="0.31496062992125984"/>
  <pageSetup paperSize="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Lamp 1a</vt:lpstr>
      <vt:lpstr>Wali Kls</vt:lpstr>
      <vt:lpstr>Lamp 2 &amp; 3</vt:lpstr>
      <vt:lpstr>Lamp 4</vt:lpstr>
      <vt:lpstr>Jam Lgkp</vt:lpstr>
      <vt:lpstr>Jam</vt:lpstr>
      <vt:lpstr>KJM</vt:lpstr>
      <vt:lpstr>Lengkap</vt:lpstr>
      <vt:lpstr>Dapodik</vt:lpstr>
      <vt:lpstr>'Lamp 1a'!Print_Area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User</cp:lastModifiedBy>
  <cp:lastPrinted>2022-08-23T05:51:48Z</cp:lastPrinted>
  <dcterms:created xsi:type="dcterms:W3CDTF">2010-11-03T01:00:26Z</dcterms:created>
  <dcterms:modified xsi:type="dcterms:W3CDTF">2022-08-23T06:58:59Z</dcterms:modified>
</cp:coreProperties>
</file>