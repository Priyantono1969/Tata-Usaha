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Wildan\SURAT MENYURAT\"/>
    </mc:Choice>
  </mc:AlternateContent>
  <xr:revisionPtr revIDLastSave="0" documentId="13_ncr:1_{6FD22D75-F4F7-4BD5-901B-1F219E0490B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4" r:id="rId1"/>
    <sheet name="Sheet2" sheetId="5" r:id="rId2"/>
    <sheet name="Sheet3" sheetId="6" r:id="rId3"/>
    <sheet name="Sheet4" sheetId="7" r:id="rId4"/>
  </sheets>
  <definedNames>
    <definedName name="_Hlk173475416" localSheetId="0">Sheet1!$C$27</definedName>
    <definedName name="_xlnm.Print_Area" localSheetId="0">Sheet1!$B$1:$J$40</definedName>
    <definedName name="_xlnm.Print_Area" localSheetId="1">Sheet2!$B$1:$J$53</definedName>
    <definedName name="_xlnm.Print_Area" localSheetId="2">Sheet3!$B$1:$I$62</definedName>
    <definedName name="_xlnm.Print_Area" localSheetId="3">Sheet4!$B$1:$I$43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5" l="1"/>
  <c r="H16" i="6"/>
  <c r="B43" i="7"/>
  <c r="G19" i="5"/>
  <c r="I51" i="6"/>
  <c r="H17" i="5"/>
  <c r="H16" i="5"/>
  <c r="H15" i="5"/>
  <c r="H14" i="5"/>
  <c r="H24" i="5"/>
  <c r="D7" i="7"/>
  <c r="J45" i="5"/>
  <c r="F12" i="6"/>
  <c r="F58" i="6"/>
  <c r="F57" i="6"/>
  <c r="C53" i="5"/>
  <c r="F43" i="7"/>
  <c r="F42" i="7"/>
  <c r="D5" i="7"/>
  <c r="D4" i="7"/>
  <c r="G4" i="6"/>
  <c r="G15" i="6" s="1"/>
  <c r="F13" i="6"/>
  <c r="B52" i="5"/>
  <c r="B42" i="7" s="1"/>
  <c r="H45" i="5"/>
  <c r="H46" i="5"/>
  <c r="H47" i="5"/>
  <c r="H52" i="5"/>
  <c r="H53" i="5"/>
  <c r="H44" i="5"/>
  <c r="C14" i="6" l="1"/>
</calcChain>
</file>

<file path=xl/sharedStrings.xml><?xml version="1.0" encoding="utf-8"?>
<sst xmlns="http://schemas.openxmlformats.org/spreadsheetml/2006/main" count="224" uniqueCount="121">
  <si>
    <t>PEMERINTAH KABUPATEN DEMAK</t>
  </si>
  <si>
    <t>SMP NEGERI 2 KARANGTENGAH</t>
  </si>
  <si>
    <t>Jalan Raya Donorejo Kec. Karangtengah Demak, Jawa Tengah 59561</t>
  </si>
  <si>
    <t xml:space="preserve">(0291) 6910950 Pos-el : smpn2.karangtengahdemak@yahoo.co.id </t>
  </si>
  <si>
    <t xml:space="preserve">SURAT PERINTAH TUGAS </t>
  </si>
  <si>
    <t>Dasar :</t>
  </si>
  <si>
    <t>1.    Peraturan Menteri Keuangan Nomor 113/PMK.05/2012</t>
  </si>
  <si>
    <t>2.    Peraturan Pemerintah Nomor 12 Tahun 2019</t>
  </si>
  <si>
    <t>3.    Peraturan Daerah Kabupaten Demak Nomor 7 Tahun 2021</t>
  </si>
  <si>
    <t>4.    Peraturan Bupati Demak Nomor 53 Tahun 2021</t>
  </si>
  <si>
    <t>5.    Peraturan Bupati Demak Nomor 29 Tahun 2023</t>
  </si>
  <si>
    <t xml:space="preserve">MEMERINTAHKAN : </t>
  </si>
  <si>
    <t>Kepada :</t>
  </si>
  <si>
    <t>NIP.</t>
  </si>
  <si>
    <t>2. Nama</t>
  </si>
  <si>
    <t>1. Nama</t>
  </si>
  <si>
    <t xml:space="preserve">    NIP.</t>
  </si>
  <si>
    <t xml:space="preserve">    Jabatan</t>
  </si>
  <si>
    <t xml:space="preserve">    NIP</t>
  </si>
  <si>
    <t>Untuk :</t>
  </si>
  <si>
    <t>Priyantono, S.Pd., M.Pd.</t>
  </si>
  <si>
    <t>Ditetapkan di : Demak</t>
  </si>
  <si>
    <t>Kab. Demak</t>
  </si>
  <si>
    <t>NIP. 196902251994031005</t>
  </si>
  <si>
    <t>Lembar ke</t>
  </si>
  <si>
    <t>:</t>
  </si>
  <si>
    <t>Kode No</t>
  </si>
  <si>
    <t>Nomor</t>
  </si>
  <si>
    <t>SURAT PERINTAH PERJALANAN DINAS</t>
  </si>
  <si>
    <t>Nama/NIP Pegawai yang diperintahkan</t>
  </si>
  <si>
    <t>a. Pangkat dan Golongan Ruang</t>
  </si>
  <si>
    <t>b. Jabatan/Instansi</t>
  </si>
  <si>
    <t>c. Tingkat Biaya Perjalanan Dinas</t>
  </si>
  <si>
    <t xml:space="preserve">    Pangkat/Gol.</t>
  </si>
  <si>
    <t>a.</t>
  </si>
  <si>
    <t>b.</t>
  </si>
  <si>
    <t>c.</t>
  </si>
  <si>
    <t>Maksud Perjalanan Dinas</t>
  </si>
  <si>
    <t>Pejabat Berwenang Yang Memberi Perintah</t>
  </si>
  <si>
    <t>Alat Angkutan Yang Dipergunakan</t>
  </si>
  <si>
    <t>Kendaraan Pribadi/Umum/Dinas*</t>
  </si>
  <si>
    <t>a. Tempat Berangkat</t>
  </si>
  <si>
    <t>b. Tempat Tujuan</t>
  </si>
  <si>
    <t>a. SMP Negeri 2 Karangtengah</t>
  </si>
  <si>
    <t>a. Lamanya Perjalanan Dinas</t>
  </si>
  <si>
    <t>b. Tanggal berangkat</t>
  </si>
  <si>
    <t>c. Tanggal Harus Kembali/Tiba Ditempat Baru*</t>
  </si>
  <si>
    <t xml:space="preserve">c. </t>
  </si>
  <si>
    <t>Pengikut Nama/NIP</t>
  </si>
  <si>
    <t>Golongan Ruang</t>
  </si>
  <si>
    <t>Tanda Tangan</t>
  </si>
  <si>
    <t>3. Nama</t>
  </si>
  <si>
    <t>4. Nama</t>
  </si>
  <si>
    <t>5. Nama</t>
  </si>
  <si>
    <t>1.</t>
  </si>
  <si>
    <t>2.</t>
  </si>
  <si>
    <t>3.</t>
  </si>
  <si>
    <t>4.</t>
  </si>
  <si>
    <t>5.</t>
  </si>
  <si>
    <t>Pembebanan Anggaran</t>
  </si>
  <si>
    <t>a. Instansi</t>
  </si>
  <si>
    <t>b. Mata Anggaran</t>
  </si>
  <si>
    <t>Keterangan Lain-Lain</t>
  </si>
  <si>
    <t>:  -</t>
  </si>
  <si>
    <t xml:space="preserve">a. </t>
  </si>
  <si>
    <t xml:space="preserve">b. </t>
  </si>
  <si>
    <t>*coret yang tidak perlu</t>
  </si>
  <si>
    <t>6.</t>
  </si>
  <si>
    <t>7.</t>
  </si>
  <si>
    <t>8.</t>
  </si>
  <si>
    <t>9.</t>
  </si>
  <si>
    <t>10.</t>
  </si>
  <si>
    <t>Pelaksana SPPD</t>
  </si>
  <si>
    <t xml:space="preserve">: </t>
  </si>
  <si>
    <t>-</t>
  </si>
  <si>
    <t>…...................................................</t>
  </si>
  <si>
    <t>b. Perjalanan Dinas Dalam/Luar Daerah*</t>
  </si>
  <si>
    <t>(Tempat Kedudukan)</t>
  </si>
  <si>
    <t xml:space="preserve">  </t>
  </si>
  <si>
    <t>Ke :</t>
  </si>
  <si>
    <t xml:space="preserve">Pada Tanggal : </t>
  </si>
  <si>
    <t>II. Tiba di :</t>
  </si>
  <si>
    <t>Pada Tanggal :</t>
  </si>
  <si>
    <t>Kepala :</t>
  </si>
  <si>
    <t>…................................................</t>
  </si>
  <si>
    <t>NIP. ….......................................</t>
  </si>
  <si>
    <t>Berangkat Dari :</t>
  </si>
  <si>
    <t>III. Tiba di :</t>
  </si>
  <si>
    <t>IV. Tiba di :</t>
  </si>
  <si>
    <t>V. Tiba di :</t>
  </si>
  <si>
    <t>Pejabat yang berwenang menerbitkan SPPD, pegawai yang melakukan perjalanan Dinas, para pejabat yang mengesahkan tanggal berangkat/tiba, serta bendaharawan bertanggungjawab berdasarkan peraturan-peraturan Keuangan Negara apabila Negara menderita rugi akibat kesalahan, kelalaian dan kealpaannya.</t>
  </si>
  <si>
    <t>2. Tempat</t>
  </si>
  <si>
    <t>3. Waktu</t>
  </si>
  <si>
    <t>4. Kegiatan</t>
  </si>
  <si>
    <t>5. Hasil Kegiatan</t>
  </si>
  <si>
    <t>6. Dokumentasi</t>
  </si>
  <si>
    <t>LAPORAN PELAKSANAAN KEGIATAN</t>
  </si>
  <si>
    <t>VI. Telah diperiksa dengan keterangan bahwa perjalanan atas perintahnya dan semata-mata untuk kepentingan jabatan dalam waktu yang sesingkat-singkatnya.</t>
  </si>
  <si>
    <t>Demak,</t>
  </si>
  <si>
    <t>VII. Catatan Lain-Lain</t>
  </si>
  <si>
    <t>VIII. PERHATIAN</t>
  </si>
  <si>
    <t>SMP Negeri 2 Karangtengah</t>
  </si>
  <si>
    <t>1. Hari, Tanggal</t>
  </si>
  <si>
    <t>Kepala SMP N 2 Karangtengah Kab. Demak</t>
  </si>
  <si>
    <t>….........................…..............................................................................................</t>
  </si>
  <si>
    <t>SMPN 2 Karangtengah</t>
  </si>
  <si>
    <t>I.  Berangkat dari : SMPN 2 Karangtengah</t>
  </si>
  <si>
    <t>Kepala SMPN 2 Karangtengah</t>
  </si>
  <si>
    <t>Kepala SMPN 2 Karangtengah Kab. Demak</t>
  </si>
  <si>
    <t>Malihatun Ni'mah, S.Si.</t>
  </si>
  <si>
    <t>198008142009032003</t>
  </si>
  <si>
    <t>Penata Tingkat I, III/d</t>
  </si>
  <si>
    <t>Guru Ahli Muda</t>
  </si>
  <si>
    <t>Bimbingan Teknis Penyusunan Perangkat Pembelajaran Berbasis IT bagi Guru</t>
  </si>
  <si>
    <t>Hotel Front One HK Resort Semarang</t>
  </si>
  <si>
    <t>Rabu s.d. Jumat, 11 s.d. 13 Juni 2025</t>
  </si>
  <si>
    <t>10 Juni 2025</t>
  </si>
  <si>
    <t>3 (tiga) hari</t>
  </si>
  <si>
    <t>13 Juni 2025</t>
  </si>
  <si>
    <t>11 Juni 2025</t>
  </si>
  <si>
    <r>
      <t>No : 800/</t>
    </r>
    <r>
      <rPr>
        <sz val="15"/>
        <rFont val="Arial"/>
        <family val="2"/>
      </rPr>
      <t>106</t>
    </r>
    <r>
      <rPr>
        <sz val="15"/>
        <color theme="1"/>
        <rFont val="Arial"/>
        <family val="2"/>
      </rPr>
      <t>/2025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</si>
</sst>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14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8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Arial"/>
      <family val="2"/>
    </font>
    <font>
      <b/>
      <sz val="12"/>
      <color theme="1"/>
      <name val="Arial"/>
      <family val="2"/>
    </font>
    <font>
      <u/>
      <sz val="15"/>
      <color theme="10"/>
      <name val="Arial"/>
      <family val="2"/>
    </font>
    <font>
      <b/>
      <u/>
      <sz val="15"/>
      <color theme="1"/>
      <name val="Arial"/>
      <family val="2"/>
    </font>
    <font>
      <sz val="15"/>
      <color theme="1"/>
      <name val="Arial"/>
      <family val="2"/>
    </font>
    <font>
      <b/>
      <sz val="15"/>
      <color theme="1"/>
      <name val="Arial"/>
      <family val="2"/>
    </font>
    <font>
      <sz val="15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3" fillId="0" borderId="6" xfId="0" applyFont="1" applyBorder="1"/>
    <xf numFmtId="0" fontId="3" fillId="0" borderId="5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2" xfId="0" applyFont="1" applyBorder="1"/>
    <xf numFmtId="0" fontId="3" fillId="0" borderId="0" xfId="0" applyFont="1" applyAlignment="1">
      <alignment horizontal="center"/>
    </xf>
    <xf numFmtId="0" fontId="0" fillId="0" borderId="0" xfId="0" applyAlignment="1">
      <alignment vertical="top" wrapText="1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vertical="center"/>
    </xf>
    <xf numFmtId="0" fontId="3" fillId="0" borderId="15" xfId="0" applyFont="1" applyBorder="1" applyAlignment="1">
      <alignment horizontal="center" vertical="top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14" xfId="0" applyFont="1" applyBorder="1" applyAlignment="1">
      <alignment vertical="top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3" xfId="0" applyFont="1" applyBorder="1" applyAlignment="1">
      <alignment horizontal="center" vertical="top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1" fillId="0" borderId="0" xfId="0" quotePrefix="1" applyFont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8" xfId="0" quotePrefix="1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11" fillId="0" borderId="0" xfId="0" applyFont="1" applyAlignment="1">
      <alignment vertical="top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164" fontId="3" fillId="0" borderId="0" xfId="0" applyNumberFormat="1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12" fillId="0" borderId="0" xfId="0" applyFont="1" applyAlignment="1">
      <alignment vertical="center"/>
    </xf>
    <xf numFmtId="49" fontId="11" fillId="0" borderId="0" xfId="0" quotePrefix="1" applyNumberFormat="1" applyFont="1"/>
    <xf numFmtId="49" fontId="3" fillId="0" borderId="0" xfId="0" applyNumberFormat="1" applyFont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164" fontId="3" fillId="0" borderId="0" xfId="0" quotePrefix="1" applyNumberFormat="1" applyFont="1" applyAlignment="1">
      <alignment horizontal="left" vertical="center"/>
    </xf>
    <xf numFmtId="164" fontId="3" fillId="0" borderId="8" xfId="0" quotePrefix="1" applyNumberFormat="1" applyFont="1" applyBorder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top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left" wrapText="1"/>
    </xf>
    <xf numFmtId="0" fontId="3" fillId="0" borderId="8" xfId="0" applyFont="1" applyBorder="1" applyAlignment="1">
      <alignment horizontal="left" wrapText="1"/>
    </xf>
    <xf numFmtId="0" fontId="3" fillId="0" borderId="9" xfId="0" applyFont="1" applyBorder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3" fillId="0" borderId="3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5" xfId="0" applyFont="1" applyBorder="1" applyAlignment="1">
      <alignment horizontal="center"/>
    </xf>
    <xf numFmtId="0" fontId="3" fillId="0" borderId="9" xfId="0" applyFont="1" applyBorder="1" applyAlignment="1">
      <alignment horizontal="left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3" fillId="0" borderId="0" xfId="0" quotePrefix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49" fontId="3" fillId="0" borderId="0" xfId="0" quotePrefix="1" applyNumberFormat="1" applyFont="1" applyAlignment="1">
      <alignment horizontal="left" vertical="center"/>
    </xf>
    <xf numFmtId="0" fontId="3" fillId="0" borderId="0" xfId="0" quotePrefix="1" applyNumberFormat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508000</xdr:colOff>
      <xdr:row>0</xdr:row>
      <xdr:rowOff>179161</xdr:rowOff>
    </xdr:from>
    <xdr:to>
      <xdr:col>2</xdr:col>
      <xdr:colOff>15875</xdr:colOff>
      <xdr:row>5</xdr:row>
      <xdr:rowOff>29482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AD56C73A-CABE-E8F8-037F-A01C1EFB0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0" y="179161"/>
          <a:ext cx="1235982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428625</xdr:colOff>
      <xdr:row>0</xdr:row>
      <xdr:rowOff>181428</xdr:rowOff>
    </xdr:from>
    <xdr:to>
      <xdr:col>9</xdr:col>
      <xdr:colOff>1279071</xdr:colOff>
      <xdr:row>4</xdr:row>
      <xdr:rowOff>167820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12BEC776-5685-CE5C-D90E-DDF6B8B65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3518" y="181428"/>
          <a:ext cx="850446" cy="898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54429</xdr:colOff>
      <xdr:row>32</xdr:row>
      <xdr:rowOff>108857</xdr:rowOff>
    </xdr:from>
    <xdr:to>
      <xdr:col>9</xdr:col>
      <xdr:colOff>340178</xdr:colOff>
      <xdr:row>39</xdr:row>
      <xdr:rowOff>258536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2934FBDD-9AFF-4C97-918D-20BF3242D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4143" y="9021536"/>
          <a:ext cx="2898321" cy="22451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54428</xdr:colOff>
      <xdr:row>5</xdr:row>
      <xdr:rowOff>54428</xdr:rowOff>
    </xdr:from>
    <xdr:to>
      <xdr:col>9</xdr:col>
      <xdr:colOff>1347106</xdr:colOff>
      <xdr:row>5</xdr:row>
      <xdr:rowOff>54428</xdr:rowOff>
    </xdr:to>
    <xdr:sp macro="" textlink="">
      <xdr:nvSpPr>
        <xdr:cNvPr id="5" name="Line 8">
          <a:extLst>
            <a:ext uri="{FF2B5EF4-FFF2-40B4-BE49-F238E27FC236}">
              <a16:creationId xmlns:a16="http://schemas.microsoft.com/office/drawing/2014/main" id="{49016B02-AE83-481F-8258-2254D49C1946}"/>
            </a:ext>
          </a:extLst>
        </xdr:cNvPr>
        <xdr:cNvSpPr>
          <a:spLocks noChangeShapeType="1"/>
        </xdr:cNvSpPr>
      </xdr:nvSpPr>
      <xdr:spPr bwMode="auto">
        <a:xfrm>
          <a:off x="666749" y="1156607"/>
          <a:ext cx="8082643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1334861</xdr:colOff>
      <xdr:row>1</xdr:row>
      <xdr:rowOff>14968</xdr:rowOff>
    </xdr:from>
    <xdr:to>
      <xdr:col>9</xdr:col>
      <xdr:colOff>2126343</xdr:colOff>
      <xdr:row>5</xdr:row>
      <xdr:rowOff>1360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7B2E8058-B108-4215-AB1A-6A7BBBB41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9336" y="205468"/>
          <a:ext cx="791482" cy="853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446313</xdr:colOff>
      <xdr:row>0</xdr:row>
      <xdr:rowOff>158750</xdr:rowOff>
    </xdr:from>
    <xdr:to>
      <xdr:col>2</xdr:col>
      <xdr:colOff>775606</xdr:colOff>
      <xdr:row>5</xdr:row>
      <xdr:rowOff>9071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56C187-D0A8-4DC7-A00D-2DA0D4A16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313" y="158750"/>
          <a:ext cx="1281793" cy="911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311604</xdr:colOff>
      <xdr:row>43</xdr:row>
      <xdr:rowOff>190499</xdr:rowOff>
    </xdr:from>
    <xdr:to>
      <xdr:col>9</xdr:col>
      <xdr:colOff>1288596</xdr:colOff>
      <xdr:row>52</xdr:row>
      <xdr:rowOff>152853</xdr:rowOff>
    </xdr:to>
    <xdr:pic>
      <xdr:nvPicPr>
        <xdr:cNvPr id="7" name="Picture 4">
          <a:extLst>
            <a:ext uri="{FF2B5EF4-FFF2-40B4-BE49-F238E27FC236}">
              <a16:creationId xmlns:a16="http://schemas.microsoft.com/office/drawing/2014/main" id="{1CEBD119-EE05-4273-B0C3-52650E85E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5429" y="9182099"/>
          <a:ext cx="2367642" cy="17625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38100</xdr:colOff>
      <xdr:row>5</xdr:row>
      <xdr:rowOff>47625</xdr:rowOff>
    </xdr:from>
    <xdr:to>
      <xdr:col>10</xdr:col>
      <xdr:colOff>9525</xdr:colOff>
      <xdr:row>5</xdr:row>
      <xdr:rowOff>47625</xdr:rowOff>
    </xdr:to>
    <xdr:sp macro="" textlink="">
      <xdr:nvSpPr>
        <xdr:cNvPr id="5" name="Line 8">
          <a:extLst>
            <a:ext uri="{FF2B5EF4-FFF2-40B4-BE49-F238E27FC236}">
              <a16:creationId xmlns:a16="http://schemas.microsoft.com/office/drawing/2014/main" id="{2235AAEC-496E-48E6-B60A-E04D8BD36E26}"/>
            </a:ext>
          </a:extLst>
        </xdr:cNvPr>
        <xdr:cNvSpPr>
          <a:spLocks noChangeShapeType="1"/>
        </xdr:cNvSpPr>
      </xdr:nvSpPr>
      <xdr:spPr bwMode="auto">
        <a:xfrm flipV="1">
          <a:off x="647700" y="1104900"/>
          <a:ext cx="691515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54428</xdr:colOff>
      <xdr:row>5</xdr:row>
      <xdr:rowOff>108857</xdr:rowOff>
    </xdr:from>
    <xdr:to>
      <xdr:col>8</xdr:col>
      <xdr:colOff>235403</xdr:colOff>
      <xdr:row>12</xdr:row>
      <xdr:rowOff>121557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ECD24777-E8B7-4F51-A1F6-B3416512B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0178" y="1115786"/>
          <a:ext cx="2017939" cy="144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40822</xdr:colOff>
      <xdr:row>51</xdr:row>
      <xdr:rowOff>13609</xdr:rowOff>
    </xdr:from>
    <xdr:to>
      <xdr:col>8</xdr:col>
      <xdr:colOff>231321</xdr:colOff>
      <xdr:row>59</xdr:row>
      <xdr:rowOff>53522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C6B80060-1893-4B7A-AE61-88CC0D34C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4108" y="9756323"/>
          <a:ext cx="2190749" cy="1577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122465</xdr:colOff>
      <xdr:row>36</xdr:row>
      <xdr:rowOff>13607</xdr:rowOff>
    </xdr:from>
    <xdr:to>
      <xdr:col>8</xdr:col>
      <xdr:colOff>122464</xdr:colOff>
      <xdr:row>42</xdr:row>
      <xdr:rowOff>203201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D4A7E884-9C2F-4E18-827C-4FFD54DD3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1786" y="7361464"/>
          <a:ext cx="1959428" cy="14142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mpn2.karangtengahdemak@yahoo.co.id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CB427-3AD8-4651-83B4-9962E14C0442}">
  <dimension ref="B2:AA40"/>
  <sheetViews>
    <sheetView view="pageBreakPreview" topLeftCell="A4" zoomScale="70" zoomScaleNormal="70" zoomScaleSheetLayoutView="70" workbookViewId="0">
      <selection activeCell="T18" sqref="T18:Z20"/>
    </sheetView>
  </sheetViews>
  <sheetFormatPr defaultRowHeight="15" x14ac:dyDescent="0.25"/>
  <cols>
    <col min="2" max="2" width="16.7109375" customWidth="1"/>
    <col min="3" max="3" width="22.5703125" customWidth="1"/>
    <col min="4" max="4" width="2.85546875" customWidth="1"/>
    <col min="5" max="5" width="20.42578125" bestFit="1" customWidth="1"/>
    <col min="6" max="6" width="9.140625" customWidth="1"/>
    <col min="8" max="8" width="3.42578125" customWidth="1"/>
    <col min="9" max="9" width="17.42578125" bestFit="1" customWidth="1"/>
    <col min="10" max="10" width="20.28515625" customWidth="1"/>
    <col min="13" max="13" width="12" bestFit="1" customWidth="1"/>
    <col min="23" max="24" width="18" bestFit="1" customWidth="1"/>
  </cols>
  <sheetData>
    <row r="2" spans="2:27" ht="18" x14ac:dyDescent="0.25">
      <c r="B2" s="72" t="s">
        <v>0</v>
      </c>
      <c r="C2" s="72"/>
      <c r="D2" s="72"/>
      <c r="E2" s="72"/>
      <c r="F2" s="72"/>
      <c r="G2" s="72"/>
      <c r="H2" s="72"/>
      <c r="I2" s="72"/>
      <c r="J2" s="72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6"/>
    </row>
    <row r="3" spans="2:27" ht="23.25" x14ac:dyDescent="0.25">
      <c r="B3" s="73" t="s">
        <v>1</v>
      </c>
      <c r="C3" s="73"/>
      <c r="D3" s="73"/>
      <c r="E3" s="73"/>
      <c r="F3" s="73"/>
      <c r="G3" s="73"/>
      <c r="H3" s="73"/>
      <c r="I3" s="73"/>
      <c r="J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1"/>
    </row>
    <row r="4" spans="2:27" x14ac:dyDescent="0.25">
      <c r="B4" s="74" t="s">
        <v>2</v>
      </c>
      <c r="C4" s="74"/>
      <c r="D4" s="74"/>
      <c r="E4" s="74"/>
      <c r="F4" s="74"/>
      <c r="G4" s="74"/>
      <c r="H4" s="74"/>
      <c r="I4" s="74"/>
      <c r="J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2"/>
    </row>
    <row r="5" spans="2:27" x14ac:dyDescent="0.25">
      <c r="B5" s="75" t="s">
        <v>3</v>
      </c>
      <c r="C5" s="75"/>
      <c r="D5" s="75"/>
      <c r="E5" s="75"/>
      <c r="F5" s="75"/>
      <c r="G5" s="75"/>
      <c r="H5" s="75"/>
      <c r="I5" s="75"/>
      <c r="J5" s="75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6"/>
    </row>
    <row r="6" spans="2:27" ht="18.75" x14ac:dyDescent="0.25">
      <c r="B6" s="20"/>
      <c r="C6" s="20"/>
      <c r="D6" s="20"/>
      <c r="E6" s="20"/>
      <c r="F6" s="20"/>
      <c r="G6" s="20"/>
      <c r="H6" s="20"/>
      <c r="I6" s="20"/>
      <c r="J6" s="20"/>
    </row>
    <row r="7" spans="2:27" ht="23.25" x14ac:dyDescent="0.35">
      <c r="B7" s="79" t="s">
        <v>4</v>
      </c>
      <c r="C7" s="79"/>
      <c r="D7" s="79"/>
      <c r="E7" s="79"/>
      <c r="F7" s="79"/>
      <c r="G7" s="79"/>
      <c r="H7" s="79"/>
      <c r="I7" s="79"/>
      <c r="J7" s="79"/>
      <c r="O7" s="3"/>
      <c r="P7" s="3"/>
      <c r="W7" s="5"/>
      <c r="X7" s="5"/>
      <c r="Y7" s="4"/>
    </row>
    <row r="8" spans="2:27" ht="23.25" x14ac:dyDescent="0.35">
      <c r="B8" s="80" t="s">
        <v>120</v>
      </c>
      <c r="C8" s="80"/>
      <c r="D8" s="80"/>
      <c r="E8" s="80"/>
      <c r="F8" s="80"/>
      <c r="G8" s="80"/>
      <c r="H8" s="80"/>
      <c r="I8" s="80"/>
      <c r="J8" s="80"/>
      <c r="P8" s="3"/>
      <c r="W8" s="5"/>
      <c r="X8" s="5"/>
      <c r="Y8" s="4"/>
    </row>
    <row r="9" spans="2:27" ht="23.25" x14ac:dyDescent="0.35">
      <c r="B9" s="22"/>
      <c r="C9" s="22"/>
      <c r="D9" s="22"/>
      <c r="E9" s="22"/>
      <c r="F9" s="22"/>
      <c r="G9" s="22"/>
      <c r="H9" s="22"/>
      <c r="I9" s="22"/>
      <c r="J9" s="22"/>
      <c r="P9" s="3"/>
      <c r="W9" s="5"/>
      <c r="X9" s="5"/>
      <c r="Y9" s="4"/>
    </row>
    <row r="10" spans="2:27" ht="18.75" x14ac:dyDescent="0.25">
      <c r="B10" s="23" t="s">
        <v>5</v>
      </c>
      <c r="C10" s="23" t="s">
        <v>6</v>
      </c>
      <c r="D10" s="23"/>
      <c r="E10" s="23"/>
      <c r="F10" s="23"/>
      <c r="G10" s="23"/>
      <c r="H10" s="23"/>
      <c r="I10" s="23"/>
      <c r="J10" s="23"/>
    </row>
    <row r="11" spans="2:27" ht="23.25" x14ac:dyDescent="0.35">
      <c r="B11" s="23"/>
      <c r="C11" s="23" t="s">
        <v>7</v>
      </c>
      <c r="D11" s="23"/>
      <c r="E11" s="23"/>
      <c r="F11" s="23"/>
      <c r="G11" s="23"/>
      <c r="H11" s="23"/>
      <c r="I11" s="23"/>
      <c r="J11" s="23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spans="2:27" ht="18.75" x14ac:dyDescent="0.25">
      <c r="B12" s="23"/>
      <c r="C12" s="23" t="s">
        <v>8</v>
      </c>
      <c r="D12" s="23"/>
      <c r="E12" s="23"/>
      <c r="F12" s="23"/>
      <c r="G12" s="23"/>
      <c r="H12" s="23"/>
      <c r="I12" s="23"/>
      <c r="J12" s="23"/>
    </row>
    <row r="13" spans="2:27" ht="23.25" x14ac:dyDescent="0.25">
      <c r="B13" s="23"/>
      <c r="C13" s="23" t="s">
        <v>9</v>
      </c>
      <c r="D13" s="23"/>
      <c r="E13" s="23"/>
      <c r="F13" s="23"/>
      <c r="G13" s="23"/>
      <c r="H13" s="23"/>
      <c r="I13" s="23"/>
      <c r="J13" s="23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spans="2:27" ht="23.25" x14ac:dyDescent="0.25">
      <c r="B14" s="23"/>
      <c r="C14" s="23" t="s">
        <v>10</v>
      </c>
      <c r="D14" s="23"/>
      <c r="E14" s="23"/>
      <c r="F14" s="23"/>
      <c r="G14" s="23"/>
      <c r="H14" s="23"/>
      <c r="I14" s="23"/>
      <c r="J14" s="23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spans="2:27" ht="23.25" x14ac:dyDescent="0.25">
      <c r="B15" s="23"/>
      <c r="C15" s="23"/>
      <c r="D15" s="23"/>
      <c r="E15" s="23"/>
      <c r="F15" s="23"/>
      <c r="G15" s="23"/>
      <c r="H15" s="23"/>
      <c r="I15" s="23"/>
      <c r="J15" s="23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spans="2:27" ht="23.25" x14ac:dyDescent="0.35">
      <c r="B16" s="78" t="s">
        <v>11</v>
      </c>
      <c r="C16" s="78"/>
      <c r="D16" s="78"/>
      <c r="E16" s="78"/>
      <c r="F16" s="78"/>
      <c r="G16" s="78"/>
      <c r="H16" s="78"/>
      <c r="I16" s="78"/>
      <c r="J16" s="78"/>
      <c r="M16" s="81"/>
      <c r="N16" s="81"/>
      <c r="O16" s="81"/>
      <c r="P16" s="81"/>
      <c r="Q16" s="81"/>
      <c r="R16" s="81"/>
      <c r="S16" s="81"/>
      <c r="T16" s="77"/>
      <c r="U16" s="77"/>
      <c r="V16" s="77"/>
      <c r="W16" s="77"/>
      <c r="X16" s="77"/>
      <c r="Y16" s="77"/>
      <c r="Z16" s="77"/>
    </row>
    <row r="17" spans="2:26" ht="23.25" x14ac:dyDescent="0.35">
      <c r="B17" s="23"/>
      <c r="C17" s="23"/>
      <c r="D17" s="23"/>
      <c r="E17" s="23"/>
      <c r="F17" s="23"/>
      <c r="G17" s="23"/>
      <c r="H17" s="23"/>
      <c r="I17" s="23"/>
      <c r="J17" s="23"/>
      <c r="M17" s="81"/>
      <c r="N17" s="81"/>
      <c r="O17" s="81"/>
      <c r="P17" s="81"/>
      <c r="Q17" s="81"/>
      <c r="R17" s="81"/>
      <c r="S17" s="81"/>
      <c r="T17" s="77"/>
      <c r="U17" s="77"/>
      <c r="V17" s="77"/>
      <c r="W17" s="77"/>
      <c r="X17" s="77"/>
      <c r="Y17" s="77"/>
      <c r="Z17" s="77"/>
    </row>
    <row r="18" spans="2:26" ht="23.25" x14ac:dyDescent="0.35">
      <c r="B18" s="23" t="s">
        <v>12</v>
      </c>
      <c r="C18" s="23" t="s">
        <v>15</v>
      </c>
      <c r="D18" s="21" t="s">
        <v>73</v>
      </c>
      <c r="E18" s="23" t="s">
        <v>109</v>
      </c>
      <c r="F18" s="23"/>
      <c r="G18" s="23"/>
      <c r="H18" s="23"/>
      <c r="I18" s="23"/>
      <c r="J18" s="23"/>
      <c r="M18" s="81"/>
      <c r="N18" s="81"/>
      <c r="O18" s="81"/>
      <c r="P18" s="81"/>
      <c r="Q18" s="81"/>
      <c r="R18" s="81"/>
      <c r="S18" s="81"/>
      <c r="T18" s="82"/>
      <c r="U18" s="82"/>
      <c r="V18" s="82"/>
      <c r="W18" s="82"/>
      <c r="X18" s="82"/>
      <c r="Y18" s="82"/>
      <c r="Z18" s="82"/>
    </row>
    <row r="19" spans="2:26" ht="23.25" x14ac:dyDescent="0.35">
      <c r="B19" s="23"/>
      <c r="C19" s="23" t="s">
        <v>16</v>
      </c>
      <c r="D19" s="21" t="s">
        <v>73</v>
      </c>
      <c r="E19" s="39" t="s">
        <v>110</v>
      </c>
      <c r="F19" s="23"/>
      <c r="G19" s="23"/>
      <c r="H19" s="23"/>
      <c r="I19" s="23"/>
      <c r="J19" s="23"/>
      <c r="M19" s="5"/>
      <c r="N19" s="5"/>
      <c r="O19" s="5"/>
      <c r="P19" s="5"/>
      <c r="Q19" s="5"/>
      <c r="R19" s="5"/>
      <c r="S19" s="5"/>
      <c r="T19" s="82"/>
      <c r="U19" s="82"/>
      <c r="V19" s="82"/>
      <c r="W19" s="82"/>
      <c r="X19" s="82"/>
      <c r="Y19" s="82"/>
      <c r="Z19" s="82"/>
    </row>
    <row r="20" spans="2:26" ht="23.25" x14ac:dyDescent="0.35">
      <c r="B20" s="23"/>
      <c r="C20" s="23" t="s">
        <v>33</v>
      </c>
      <c r="D20" s="21" t="s">
        <v>73</v>
      </c>
      <c r="E20" s="39" t="s">
        <v>111</v>
      </c>
      <c r="F20" s="23"/>
      <c r="G20" s="23"/>
      <c r="H20" s="23"/>
      <c r="I20" s="23"/>
      <c r="J20" s="23"/>
      <c r="M20" s="5"/>
      <c r="N20" s="5"/>
      <c r="O20" s="5"/>
      <c r="P20" s="5"/>
      <c r="Q20" s="5"/>
      <c r="R20" s="5"/>
      <c r="S20" s="5"/>
      <c r="T20" s="82"/>
      <c r="U20" s="82"/>
      <c r="V20" s="82"/>
      <c r="W20" s="82"/>
      <c r="X20" s="82"/>
      <c r="Y20" s="82"/>
      <c r="Z20" s="82"/>
    </row>
    <row r="21" spans="2:26" ht="23.25" x14ac:dyDescent="0.35">
      <c r="B21" s="23"/>
      <c r="C21" s="23" t="s">
        <v>17</v>
      </c>
      <c r="D21" s="21" t="s">
        <v>73</v>
      </c>
      <c r="E21" s="23" t="s">
        <v>112</v>
      </c>
      <c r="F21" s="23"/>
      <c r="G21" s="23"/>
      <c r="H21" s="23"/>
      <c r="I21" s="23"/>
      <c r="J21" s="23"/>
      <c r="M21" s="81"/>
      <c r="N21" s="81"/>
      <c r="O21" s="81"/>
      <c r="P21" s="81"/>
      <c r="Q21" s="81"/>
      <c r="R21" s="81"/>
      <c r="S21" s="81"/>
      <c r="T21" s="77"/>
      <c r="U21" s="77"/>
      <c r="V21" s="77"/>
      <c r="W21" s="77"/>
      <c r="X21" s="77"/>
      <c r="Y21" s="77"/>
      <c r="Z21" s="77"/>
    </row>
    <row r="22" spans="2:26" ht="23.25" x14ac:dyDescent="0.35">
      <c r="B22" s="23"/>
      <c r="C22" s="23" t="s">
        <v>14</v>
      </c>
      <c r="D22" s="21" t="s">
        <v>73</v>
      </c>
      <c r="E22" s="39" t="s">
        <v>74</v>
      </c>
      <c r="F22" s="23"/>
      <c r="G22" s="23"/>
      <c r="H22" s="23"/>
      <c r="I22" s="23"/>
      <c r="J22" s="23"/>
      <c r="M22" s="81"/>
      <c r="N22" s="81"/>
      <c r="O22" s="81"/>
      <c r="P22" s="81"/>
      <c r="Q22" s="81"/>
      <c r="R22" s="81"/>
      <c r="S22" s="81"/>
      <c r="T22" s="5"/>
      <c r="U22" s="5"/>
      <c r="V22" s="5"/>
      <c r="W22" s="5"/>
      <c r="X22" s="5"/>
      <c r="Y22" s="5"/>
      <c r="Z22" s="5"/>
    </row>
    <row r="23" spans="2:26" ht="23.25" x14ac:dyDescent="0.35">
      <c r="B23" s="23"/>
      <c r="C23" s="23" t="s">
        <v>18</v>
      </c>
      <c r="D23" s="21" t="s">
        <v>73</v>
      </c>
      <c r="E23" s="39" t="s">
        <v>74</v>
      </c>
      <c r="F23" s="23"/>
      <c r="G23" s="23"/>
      <c r="H23" s="23"/>
      <c r="I23" s="23"/>
      <c r="J23" s="23"/>
      <c r="M23" s="81"/>
      <c r="N23" s="81"/>
      <c r="O23" s="81"/>
      <c r="P23" s="81"/>
      <c r="Q23" s="81"/>
      <c r="R23" s="81"/>
      <c r="S23" s="81"/>
      <c r="T23" s="5"/>
      <c r="U23" s="5"/>
      <c r="V23" s="5"/>
      <c r="W23" s="5"/>
      <c r="X23" s="5"/>
      <c r="Y23" s="5"/>
      <c r="Z23" s="5"/>
    </row>
    <row r="24" spans="2:26" ht="23.25" x14ac:dyDescent="0.35">
      <c r="B24" s="23"/>
      <c r="C24" s="23" t="s">
        <v>33</v>
      </c>
      <c r="D24" s="21" t="s">
        <v>73</v>
      </c>
      <c r="E24" s="39" t="s">
        <v>74</v>
      </c>
      <c r="F24" s="23"/>
      <c r="G24" s="23"/>
      <c r="H24" s="23"/>
      <c r="I24" s="23"/>
      <c r="J24" s="23"/>
      <c r="M24" s="81"/>
      <c r="N24" s="81"/>
      <c r="O24" s="81"/>
      <c r="P24" s="81"/>
      <c r="Q24" s="81"/>
      <c r="R24" s="81"/>
      <c r="S24" s="81"/>
      <c r="T24" s="5"/>
      <c r="U24" s="5"/>
      <c r="V24" s="5"/>
      <c r="W24" s="5"/>
      <c r="X24" s="5"/>
      <c r="Y24" s="5"/>
      <c r="Z24" s="5"/>
    </row>
    <row r="25" spans="2:26" ht="23.25" x14ac:dyDescent="0.35">
      <c r="B25" s="23"/>
      <c r="C25" s="23" t="s">
        <v>17</v>
      </c>
      <c r="D25" s="21" t="s">
        <v>73</v>
      </c>
      <c r="E25" s="39" t="s">
        <v>74</v>
      </c>
      <c r="F25" s="23"/>
      <c r="G25" s="23"/>
      <c r="H25" s="23"/>
      <c r="I25" s="23"/>
      <c r="J25" s="23"/>
      <c r="M25" s="81"/>
      <c r="N25" s="81"/>
      <c r="O25" s="81"/>
      <c r="P25" s="81"/>
      <c r="Q25" s="81"/>
      <c r="R25" s="81"/>
      <c r="S25" s="81"/>
      <c r="T25" s="5"/>
      <c r="U25" s="5"/>
      <c r="V25" s="5"/>
      <c r="W25" s="5"/>
      <c r="X25" s="5"/>
      <c r="Y25" s="5"/>
      <c r="Z25" s="5"/>
    </row>
    <row r="26" spans="2:26" ht="23.25" x14ac:dyDescent="0.35">
      <c r="B26" s="23"/>
      <c r="C26" s="23"/>
      <c r="D26" s="23"/>
      <c r="E26" s="23"/>
      <c r="F26" s="23"/>
      <c r="G26" s="23"/>
      <c r="H26" s="23"/>
      <c r="I26" s="23"/>
      <c r="J26" s="23"/>
      <c r="M26" s="85"/>
      <c r="N26" s="85"/>
      <c r="O26" s="85"/>
      <c r="P26" s="85"/>
      <c r="Q26" s="85"/>
      <c r="R26" s="85"/>
      <c r="S26" s="85"/>
      <c r="T26" s="5"/>
      <c r="U26" s="5"/>
      <c r="V26" s="5"/>
      <c r="W26" s="5"/>
      <c r="X26" s="5"/>
      <c r="Y26" s="5"/>
      <c r="Z26" s="5"/>
    </row>
    <row r="27" spans="2:26" ht="23.25" x14ac:dyDescent="0.35">
      <c r="B27" s="43" t="s">
        <v>19</v>
      </c>
      <c r="C27" s="76" t="s">
        <v>113</v>
      </c>
      <c r="D27" s="76"/>
      <c r="E27" s="76"/>
      <c r="F27" s="76"/>
      <c r="G27" s="76"/>
      <c r="H27" s="76"/>
      <c r="I27" s="76"/>
      <c r="J27" s="76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2:26" ht="25.5" customHeight="1" x14ac:dyDescent="0.35">
      <c r="B28" s="22"/>
      <c r="C28" s="71" t="s">
        <v>114</v>
      </c>
      <c r="D28" s="71"/>
      <c r="E28" s="71"/>
      <c r="F28" s="71"/>
      <c r="G28" s="71"/>
      <c r="H28" s="71"/>
      <c r="I28" s="71"/>
      <c r="J28" s="71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2:26" ht="23.25" x14ac:dyDescent="0.35">
      <c r="B29" s="22"/>
      <c r="C29" s="23" t="s">
        <v>115</v>
      </c>
      <c r="D29" s="23"/>
      <c r="E29" s="23"/>
      <c r="F29" s="23"/>
      <c r="G29" s="23"/>
      <c r="H29" s="23"/>
      <c r="I29" s="23"/>
      <c r="J29" s="22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2:26" ht="23.25" x14ac:dyDescent="0.35">
      <c r="B30" s="22"/>
      <c r="C30" s="23"/>
      <c r="D30" s="23"/>
      <c r="E30" s="23"/>
      <c r="F30" s="23"/>
      <c r="G30" s="23"/>
      <c r="H30" s="23"/>
      <c r="I30" s="23"/>
      <c r="J30" s="22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2:26" ht="23.25" x14ac:dyDescent="0.35">
      <c r="B31" s="22"/>
      <c r="C31" s="23"/>
      <c r="D31" s="23"/>
      <c r="E31" s="23"/>
      <c r="F31" s="23"/>
      <c r="G31" s="23"/>
      <c r="H31" s="23"/>
      <c r="I31" s="23"/>
      <c r="J31" s="22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2:26" ht="23.25" x14ac:dyDescent="0.35">
      <c r="B32" s="22"/>
      <c r="C32" s="22"/>
      <c r="D32" s="22"/>
      <c r="E32" s="22"/>
      <c r="F32" s="23" t="s">
        <v>21</v>
      </c>
      <c r="I32" s="22"/>
      <c r="J32" s="22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23.25" x14ac:dyDescent="0.35">
      <c r="B33" s="22"/>
      <c r="C33" s="22"/>
      <c r="D33" s="22"/>
      <c r="E33" s="22"/>
      <c r="F33" s="23" t="s">
        <v>82</v>
      </c>
      <c r="I33" s="66" t="s">
        <v>116</v>
      </c>
      <c r="J33" s="22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ht="23.25" x14ac:dyDescent="0.35">
      <c r="B34" s="22"/>
      <c r="C34" s="22"/>
      <c r="D34" s="22"/>
      <c r="E34" s="22"/>
      <c r="F34" s="23" t="s">
        <v>107</v>
      </c>
      <c r="I34" s="22"/>
      <c r="J34" s="22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ht="23.25" x14ac:dyDescent="0.35">
      <c r="B35" s="22"/>
      <c r="C35" s="22"/>
      <c r="D35" s="22"/>
      <c r="E35" s="22"/>
      <c r="F35" s="23" t="s">
        <v>22</v>
      </c>
      <c r="I35" s="22"/>
      <c r="J35" s="22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ht="23.25" x14ac:dyDescent="0.35">
      <c r="B36" s="22"/>
      <c r="C36" s="22"/>
      <c r="D36" s="22"/>
      <c r="E36" s="22"/>
      <c r="F36" s="23"/>
      <c r="I36" s="22"/>
      <c r="J36" s="22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ht="23.25" x14ac:dyDescent="0.35">
      <c r="B37" s="22"/>
      <c r="C37" s="22"/>
      <c r="D37" s="22"/>
      <c r="E37" s="22"/>
      <c r="F37" s="23"/>
      <c r="I37" s="22"/>
      <c r="J37" s="22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ht="23.25" x14ac:dyDescent="0.35">
      <c r="B38" s="22"/>
      <c r="C38" s="22"/>
      <c r="D38" s="22"/>
      <c r="E38" s="22"/>
      <c r="F38" s="23"/>
      <c r="I38" s="22"/>
      <c r="J38" s="22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23.25" x14ac:dyDescent="0.35">
      <c r="B39" s="22"/>
      <c r="C39" s="22"/>
      <c r="D39" s="22"/>
      <c r="E39" s="22"/>
      <c r="F39" s="65" t="s">
        <v>20</v>
      </c>
      <c r="I39" s="22"/>
      <c r="J39" s="22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ht="23.25" x14ac:dyDescent="0.35">
      <c r="B40" s="22"/>
      <c r="C40" s="22"/>
      <c r="D40" s="22"/>
      <c r="E40" s="22"/>
      <c r="F40" s="23" t="s">
        <v>23</v>
      </c>
      <c r="I40" s="22"/>
      <c r="J40" s="22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</sheetData>
  <mergeCells count="32">
    <mergeCell ref="M22:S22"/>
    <mergeCell ref="M23:S23"/>
    <mergeCell ref="M24:S24"/>
    <mergeCell ref="M25:S25"/>
    <mergeCell ref="M26:S26"/>
    <mergeCell ref="M18:S18"/>
    <mergeCell ref="T18:Z20"/>
    <mergeCell ref="M21:S21"/>
    <mergeCell ref="T21:Z21"/>
    <mergeCell ref="L2:Z2"/>
    <mergeCell ref="L3:Z3"/>
    <mergeCell ref="L4:Z4"/>
    <mergeCell ref="L5:Z5"/>
    <mergeCell ref="M16:S16"/>
    <mergeCell ref="M17:S17"/>
    <mergeCell ref="T16:Z16"/>
    <mergeCell ref="T17:Z17"/>
    <mergeCell ref="M11:Z11"/>
    <mergeCell ref="M13:S13"/>
    <mergeCell ref="T13:Z13"/>
    <mergeCell ref="M14:S15"/>
    <mergeCell ref="T14:Z14"/>
    <mergeCell ref="T15:Z15"/>
    <mergeCell ref="B16:J16"/>
    <mergeCell ref="B7:J7"/>
    <mergeCell ref="B8:J8"/>
    <mergeCell ref="C28:J28"/>
    <mergeCell ref="B2:J2"/>
    <mergeCell ref="B3:J3"/>
    <mergeCell ref="B4:J4"/>
    <mergeCell ref="B5:J5"/>
    <mergeCell ref="C27:J27"/>
  </mergeCells>
  <hyperlinks>
    <hyperlink ref="B5" r:id="rId1" display="mailto:smpn2.karangtengahdemak@yahoo.co.id" xr:uid="{66CB4FEC-25A1-4FC5-90F0-DC18F1618C1B}"/>
  </hyperlinks>
  <printOptions horizontalCentered="1"/>
  <pageMargins left="3.937007874015748E-2" right="3.937007874015748E-2" top="3.937007874015748E-2" bottom="3.937007874015748E-2" header="3.937007874015748E-2" footer="3.937007874015748E-2"/>
  <pageSetup paperSize="20000" scale="85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24ABE-DCD5-431B-9618-28C9492BD580}">
  <dimension ref="B2:J53"/>
  <sheetViews>
    <sheetView view="pageBreakPreview" topLeftCell="A19" zoomScaleNormal="100" zoomScaleSheetLayoutView="100" workbookViewId="0">
      <selection activeCell="J9" sqref="J9"/>
    </sheetView>
  </sheetViews>
  <sheetFormatPr defaultRowHeight="15" x14ac:dyDescent="0.25"/>
  <cols>
    <col min="2" max="2" width="5" customWidth="1"/>
    <col min="3" max="3" width="16.28515625" customWidth="1"/>
    <col min="6" max="6" width="10.28515625" customWidth="1"/>
    <col min="7" max="7" width="5.140625" customWidth="1"/>
    <col min="8" max="8" width="13.7109375" customWidth="1"/>
    <col min="9" max="9" width="2" customWidth="1"/>
    <col min="10" max="10" width="33.42578125" customWidth="1"/>
  </cols>
  <sheetData>
    <row r="2" spans="2:10" x14ac:dyDescent="0.25">
      <c r="B2" s="74" t="s">
        <v>0</v>
      </c>
      <c r="C2" s="74"/>
      <c r="D2" s="74"/>
      <c r="E2" s="74"/>
      <c r="F2" s="74"/>
      <c r="G2" s="74"/>
      <c r="H2" s="74"/>
      <c r="I2" s="74"/>
      <c r="J2" s="74"/>
    </row>
    <row r="3" spans="2:10" ht="23.25" x14ac:dyDescent="0.25">
      <c r="B3" s="73" t="s">
        <v>1</v>
      </c>
      <c r="C3" s="73"/>
      <c r="D3" s="73"/>
      <c r="E3" s="73"/>
      <c r="F3" s="73"/>
      <c r="G3" s="73"/>
      <c r="H3" s="73"/>
      <c r="I3" s="73"/>
      <c r="J3" s="73"/>
    </row>
    <row r="4" spans="2:10" x14ac:dyDescent="0.25">
      <c r="B4" s="74" t="s">
        <v>2</v>
      </c>
      <c r="C4" s="74"/>
      <c r="D4" s="74"/>
      <c r="E4" s="74"/>
      <c r="F4" s="74"/>
      <c r="G4" s="74"/>
      <c r="H4" s="74"/>
      <c r="I4" s="74"/>
      <c r="J4" s="74"/>
    </row>
    <row r="5" spans="2:10" x14ac:dyDescent="0.25">
      <c r="B5" s="83" t="s">
        <v>3</v>
      </c>
      <c r="C5" s="83"/>
      <c r="D5" s="83"/>
      <c r="E5" s="83"/>
      <c r="F5" s="83"/>
      <c r="G5" s="83"/>
      <c r="H5" s="83"/>
      <c r="I5" s="83"/>
      <c r="J5" s="83"/>
    </row>
    <row r="7" spans="2:10" ht="15.75" x14ac:dyDescent="0.25">
      <c r="B7" s="3"/>
      <c r="C7" s="3"/>
      <c r="D7" s="3"/>
      <c r="E7" s="3"/>
      <c r="F7" s="3"/>
      <c r="G7" s="3"/>
      <c r="H7" s="3" t="s">
        <v>24</v>
      </c>
      <c r="I7" s="16" t="s">
        <v>25</v>
      </c>
      <c r="J7" s="3" t="s">
        <v>74</v>
      </c>
    </row>
    <row r="8" spans="2:10" ht="15.75" x14ac:dyDescent="0.25">
      <c r="B8" s="3"/>
      <c r="C8" s="3"/>
      <c r="D8" s="3"/>
      <c r="E8" s="3"/>
      <c r="F8" s="3"/>
      <c r="G8" s="3"/>
      <c r="H8" s="3" t="s">
        <v>26</v>
      </c>
      <c r="I8" s="16" t="s">
        <v>25</v>
      </c>
      <c r="J8" s="3" t="s">
        <v>74</v>
      </c>
    </row>
    <row r="9" spans="2:10" ht="15.75" x14ac:dyDescent="0.25">
      <c r="B9" s="3"/>
      <c r="C9" s="3"/>
      <c r="D9" s="3"/>
      <c r="E9" s="3"/>
      <c r="F9" s="3"/>
      <c r="G9" s="3"/>
      <c r="H9" s="3" t="s">
        <v>27</v>
      </c>
      <c r="I9" s="16" t="s">
        <v>25</v>
      </c>
      <c r="J9" s="3" t="str">
        <f>Sheet1!B8</f>
        <v>No : 800/106/2025</v>
      </c>
    </row>
    <row r="10" spans="2:10" ht="15.75" x14ac:dyDescent="0.25">
      <c r="B10" s="3"/>
      <c r="C10" s="3"/>
      <c r="D10" s="3"/>
      <c r="E10" s="3"/>
      <c r="F10" s="3"/>
      <c r="G10" s="3"/>
      <c r="H10" s="3"/>
      <c r="I10" s="3"/>
      <c r="J10" s="3"/>
    </row>
    <row r="11" spans="2:10" ht="15.75" x14ac:dyDescent="0.25">
      <c r="B11" s="3"/>
      <c r="C11" s="117" t="s">
        <v>28</v>
      </c>
      <c r="D11" s="117"/>
      <c r="E11" s="117"/>
      <c r="F11" s="117"/>
      <c r="G11" s="117"/>
      <c r="H11" s="117"/>
      <c r="I11" s="117"/>
      <c r="J11" s="117"/>
    </row>
    <row r="12" spans="2:10" ht="15.75" x14ac:dyDescent="0.25">
      <c r="B12" s="3"/>
      <c r="C12" s="19"/>
      <c r="D12" s="19"/>
      <c r="E12" s="19"/>
      <c r="F12" s="19"/>
      <c r="G12" s="19"/>
      <c r="H12" s="19"/>
      <c r="I12" s="19"/>
      <c r="J12" s="19"/>
    </row>
    <row r="13" spans="2:10" x14ac:dyDescent="0.25">
      <c r="B13" s="24" t="s">
        <v>54</v>
      </c>
      <c r="C13" s="107" t="s">
        <v>38</v>
      </c>
      <c r="D13" s="108"/>
      <c r="E13" s="108"/>
      <c r="F13" s="108"/>
      <c r="G13" s="107" t="s">
        <v>108</v>
      </c>
      <c r="H13" s="108"/>
      <c r="I13" s="108"/>
      <c r="J13" s="109"/>
    </row>
    <row r="14" spans="2:10" x14ac:dyDescent="0.25">
      <c r="B14" s="100" t="s">
        <v>55</v>
      </c>
      <c r="C14" s="118" t="s">
        <v>29</v>
      </c>
      <c r="D14" s="118"/>
      <c r="E14" s="118"/>
      <c r="F14" s="118"/>
      <c r="G14" s="25" t="s">
        <v>34</v>
      </c>
      <c r="H14" s="26" t="str">
        <f>Sheet1!E18</f>
        <v>Malihatun Ni'mah, S.Si.</v>
      </c>
      <c r="I14" s="26"/>
      <c r="J14" s="27"/>
    </row>
    <row r="15" spans="2:10" x14ac:dyDescent="0.25">
      <c r="B15" s="101"/>
      <c r="C15" s="119"/>
      <c r="D15" s="120"/>
      <c r="E15" s="120"/>
      <c r="F15" s="120"/>
      <c r="G15" s="29" t="s">
        <v>35</v>
      </c>
      <c r="H15" s="30" t="str">
        <f>Sheet1!E19</f>
        <v>198008142009032003</v>
      </c>
      <c r="I15" s="30"/>
      <c r="J15" s="31"/>
    </row>
    <row r="16" spans="2:10" ht="15.75" x14ac:dyDescent="0.25">
      <c r="B16" s="32" t="s">
        <v>56</v>
      </c>
      <c r="C16" s="90" t="s">
        <v>30</v>
      </c>
      <c r="D16" s="90"/>
      <c r="E16" s="90"/>
      <c r="F16" s="90"/>
      <c r="G16" s="25" t="s">
        <v>34</v>
      </c>
      <c r="H16" s="26" t="str">
        <f>Sheet1!E20</f>
        <v>Penata Tingkat I, III/d</v>
      </c>
      <c r="I16" s="26"/>
      <c r="J16" s="27"/>
    </row>
    <row r="17" spans="2:10" ht="15.75" x14ac:dyDescent="0.25">
      <c r="B17" s="28"/>
      <c r="C17" s="91" t="s">
        <v>31</v>
      </c>
      <c r="D17" s="92"/>
      <c r="E17" s="92"/>
      <c r="F17" s="92"/>
      <c r="G17" s="33" t="s">
        <v>35</v>
      </c>
      <c r="H17" s="2" t="str">
        <f>Sheet1!E21</f>
        <v>Guru Ahli Muda</v>
      </c>
      <c r="I17" s="2"/>
      <c r="J17" s="34"/>
    </row>
    <row r="18" spans="2:10" ht="15.75" x14ac:dyDescent="0.25">
      <c r="B18" s="28"/>
      <c r="C18" s="105" t="s">
        <v>32</v>
      </c>
      <c r="D18" s="106"/>
      <c r="E18" s="106"/>
      <c r="F18" s="106"/>
      <c r="G18" s="29" t="s">
        <v>36</v>
      </c>
      <c r="H18" s="41" t="s">
        <v>74</v>
      </c>
      <c r="I18" s="30"/>
      <c r="J18" s="31"/>
    </row>
    <row r="19" spans="2:10" x14ac:dyDescent="0.25">
      <c r="B19" s="100" t="s">
        <v>57</v>
      </c>
      <c r="C19" s="118" t="s">
        <v>37</v>
      </c>
      <c r="D19" s="118"/>
      <c r="E19" s="118"/>
      <c r="F19" s="118"/>
      <c r="G19" s="110" t="str">
        <f>Sheet1!C27</f>
        <v>Bimbingan Teknis Penyusunan Perangkat Pembelajaran Berbasis IT bagi Guru</v>
      </c>
      <c r="H19" s="111"/>
      <c r="I19" s="111"/>
      <c r="J19" s="112"/>
    </row>
    <row r="20" spans="2:10" x14ac:dyDescent="0.25">
      <c r="B20" s="102"/>
      <c r="C20" s="123"/>
      <c r="D20" s="124"/>
      <c r="E20" s="124"/>
      <c r="F20" s="124"/>
      <c r="G20" s="113"/>
      <c r="H20" s="114"/>
      <c r="I20" s="114"/>
      <c r="J20" s="115"/>
    </row>
    <row r="21" spans="2:10" x14ac:dyDescent="0.25">
      <c r="B21" s="101"/>
      <c r="C21" s="119"/>
      <c r="D21" s="120"/>
      <c r="E21" s="120"/>
      <c r="F21" s="120"/>
      <c r="G21" s="93"/>
      <c r="H21" s="94"/>
      <c r="I21" s="94"/>
      <c r="J21" s="116"/>
    </row>
    <row r="22" spans="2:10" ht="15.75" x14ac:dyDescent="0.25">
      <c r="B22" s="24" t="s">
        <v>58</v>
      </c>
      <c r="C22" s="103" t="s">
        <v>39</v>
      </c>
      <c r="D22" s="104"/>
      <c r="E22" s="104"/>
      <c r="F22" s="104"/>
      <c r="G22" s="62" t="s">
        <v>40</v>
      </c>
      <c r="H22" s="63"/>
      <c r="I22" s="63"/>
      <c r="J22" s="64"/>
    </row>
    <row r="23" spans="2:10" ht="15.75" x14ac:dyDescent="0.25">
      <c r="B23" s="100" t="s">
        <v>67</v>
      </c>
      <c r="C23" s="92" t="s">
        <v>41</v>
      </c>
      <c r="D23" s="92"/>
      <c r="E23" s="92"/>
      <c r="F23" s="92"/>
      <c r="G23" s="11" t="s">
        <v>34</v>
      </c>
      <c r="H23" s="3" t="s">
        <v>101</v>
      </c>
      <c r="I23" s="3"/>
      <c r="J23" s="10"/>
    </row>
    <row r="24" spans="2:10" ht="15.75" x14ac:dyDescent="0.25">
      <c r="B24" s="101"/>
      <c r="C24" s="105" t="s">
        <v>42</v>
      </c>
      <c r="D24" s="106"/>
      <c r="E24" s="106"/>
      <c r="F24" s="106"/>
      <c r="G24" s="12" t="s">
        <v>65</v>
      </c>
      <c r="H24" s="86" t="str">
        <f>Sheet1!$C$28</f>
        <v>Hotel Front One HK Resort Semarang</v>
      </c>
      <c r="I24" s="86"/>
      <c r="J24" s="87"/>
    </row>
    <row r="25" spans="2:10" ht="15.75" x14ac:dyDescent="0.25">
      <c r="B25" s="32" t="s">
        <v>68</v>
      </c>
      <c r="C25" s="90" t="s">
        <v>44</v>
      </c>
      <c r="D25" s="90"/>
      <c r="E25" s="90"/>
      <c r="F25" s="90"/>
      <c r="G25" s="15" t="s">
        <v>64</v>
      </c>
      <c r="H25" s="8" t="s">
        <v>117</v>
      </c>
      <c r="I25" s="8"/>
      <c r="J25" s="9"/>
    </row>
    <row r="26" spans="2:10" ht="15.75" x14ac:dyDescent="0.25">
      <c r="B26" s="36"/>
      <c r="C26" s="91" t="s">
        <v>45</v>
      </c>
      <c r="D26" s="92"/>
      <c r="E26" s="92"/>
      <c r="F26" s="92"/>
      <c r="G26" s="11" t="s">
        <v>65</v>
      </c>
      <c r="H26" s="69" t="s">
        <v>119</v>
      </c>
      <c r="I26" s="3"/>
      <c r="J26" s="10"/>
    </row>
    <row r="27" spans="2:10" x14ac:dyDescent="0.25">
      <c r="B27" s="37"/>
      <c r="C27" s="93" t="s">
        <v>46</v>
      </c>
      <c r="D27" s="94"/>
      <c r="E27" s="94"/>
      <c r="F27" s="94"/>
      <c r="G27" s="29" t="s">
        <v>47</v>
      </c>
      <c r="H27" s="70" t="s">
        <v>118</v>
      </c>
      <c r="I27" s="30"/>
      <c r="J27" s="31"/>
    </row>
    <row r="28" spans="2:10" ht="15.75" x14ac:dyDescent="0.25">
      <c r="B28" s="38" t="s">
        <v>69</v>
      </c>
      <c r="C28" s="95" t="s">
        <v>48</v>
      </c>
      <c r="D28" s="96"/>
      <c r="E28" s="96"/>
      <c r="F28" s="96"/>
      <c r="G28" s="97" t="s">
        <v>49</v>
      </c>
      <c r="H28" s="98"/>
      <c r="I28" s="96" t="s">
        <v>50</v>
      </c>
      <c r="J28" s="99"/>
    </row>
    <row r="29" spans="2:10" ht="15.75" x14ac:dyDescent="0.25">
      <c r="B29" s="28"/>
      <c r="C29" s="11" t="s">
        <v>15</v>
      </c>
      <c r="D29" s="89"/>
      <c r="E29" s="89"/>
      <c r="F29" s="89"/>
      <c r="G29" s="121"/>
      <c r="H29" s="88"/>
      <c r="I29" s="124" t="s">
        <v>54</v>
      </c>
      <c r="J29" s="128"/>
    </row>
    <row r="30" spans="2:10" ht="15.75" x14ac:dyDescent="0.25">
      <c r="B30" s="28"/>
      <c r="C30" s="11" t="s">
        <v>16</v>
      </c>
      <c r="D30" s="88" t="s">
        <v>75</v>
      </c>
      <c r="E30" s="88"/>
      <c r="F30" s="88"/>
      <c r="G30" s="121"/>
      <c r="H30" s="88"/>
      <c r="I30" s="124"/>
      <c r="J30" s="128"/>
    </row>
    <row r="31" spans="2:10" ht="15.75" x14ac:dyDescent="0.25">
      <c r="B31" s="28"/>
      <c r="C31" s="11" t="s">
        <v>14</v>
      </c>
      <c r="D31" s="88"/>
      <c r="E31" s="88"/>
      <c r="F31" s="88"/>
      <c r="G31" s="121"/>
      <c r="H31" s="88"/>
      <c r="I31" s="74" t="s">
        <v>55</v>
      </c>
      <c r="J31" s="129"/>
    </row>
    <row r="32" spans="2:10" ht="15.75" x14ac:dyDescent="0.25">
      <c r="B32" s="28"/>
      <c r="C32" s="11" t="s">
        <v>16</v>
      </c>
      <c r="D32" s="88" t="s">
        <v>75</v>
      </c>
      <c r="E32" s="88"/>
      <c r="F32" s="88"/>
      <c r="G32" s="121"/>
      <c r="H32" s="88"/>
      <c r="I32" s="74"/>
      <c r="J32" s="129"/>
    </row>
    <row r="33" spans="2:10" ht="15.75" x14ac:dyDescent="0.25">
      <c r="B33" s="28"/>
      <c r="C33" s="11" t="s">
        <v>51</v>
      </c>
      <c r="D33" s="88"/>
      <c r="E33" s="88"/>
      <c r="F33" s="88"/>
      <c r="G33" s="121"/>
      <c r="H33" s="88"/>
      <c r="I33" s="124" t="s">
        <v>56</v>
      </c>
      <c r="J33" s="128"/>
    </row>
    <row r="34" spans="2:10" ht="15.75" x14ac:dyDescent="0.25">
      <c r="B34" s="28"/>
      <c r="C34" s="11" t="s">
        <v>16</v>
      </c>
      <c r="D34" s="88" t="s">
        <v>75</v>
      </c>
      <c r="E34" s="88"/>
      <c r="F34" s="88"/>
      <c r="G34" s="121"/>
      <c r="H34" s="88"/>
      <c r="I34" s="124"/>
      <c r="J34" s="128"/>
    </row>
    <row r="35" spans="2:10" ht="15.75" x14ac:dyDescent="0.25">
      <c r="B35" s="28"/>
      <c r="C35" s="11" t="s">
        <v>52</v>
      </c>
      <c r="D35" s="88"/>
      <c r="E35" s="88"/>
      <c r="F35" s="88"/>
      <c r="G35" s="121"/>
      <c r="H35" s="88"/>
      <c r="I35" s="74" t="s">
        <v>57</v>
      </c>
      <c r="J35" s="129"/>
    </row>
    <row r="36" spans="2:10" ht="15.75" x14ac:dyDescent="0.25">
      <c r="B36" s="28"/>
      <c r="C36" s="11" t="s">
        <v>16</v>
      </c>
      <c r="D36" s="88" t="s">
        <v>75</v>
      </c>
      <c r="E36" s="88"/>
      <c r="F36" s="88"/>
      <c r="G36" s="121"/>
      <c r="H36" s="88"/>
      <c r="I36" s="74"/>
      <c r="J36" s="129"/>
    </row>
    <row r="37" spans="2:10" ht="15.75" x14ac:dyDescent="0.25">
      <c r="B37" s="28"/>
      <c r="C37" s="11" t="s">
        <v>53</v>
      </c>
      <c r="D37" s="88"/>
      <c r="E37" s="88"/>
      <c r="F37" s="88"/>
      <c r="G37" s="121"/>
      <c r="H37" s="88"/>
      <c r="I37" s="124" t="s">
        <v>58</v>
      </c>
      <c r="J37" s="128"/>
    </row>
    <row r="38" spans="2:10" ht="15.75" x14ac:dyDescent="0.25">
      <c r="B38" s="28"/>
      <c r="C38" s="12" t="s">
        <v>16</v>
      </c>
      <c r="D38" s="127" t="s">
        <v>75</v>
      </c>
      <c r="E38" s="127"/>
      <c r="F38" s="127"/>
      <c r="G38" s="126"/>
      <c r="H38" s="127"/>
      <c r="I38" s="120"/>
      <c r="J38" s="130"/>
    </row>
    <row r="39" spans="2:10" ht="15.75" x14ac:dyDescent="0.25">
      <c r="B39" s="32" t="s">
        <v>70</v>
      </c>
      <c r="C39" s="90" t="s">
        <v>59</v>
      </c>
      <c r="D39" s="90"/>
      <c r="E39" s="90"/>
      <c r="F39" s="90"/>
      <c r="G39" s="15"/>
      <c r="H39" s="8"/>
      <c r="I39" s="8"/>
      <c r="J39" s="9"/>
    </row>
    <row r="40" spans="2:10" ht="15.75" x14ac:dyDescent="0.25">
      <c r="B40" s="36"/>
      <c r="C40" s="91" t="s">
        <v>60</v>
      </c>
      <c r="D40" s="92"/>
      <c r="E40" s="92"/>
      <c r="F40" s="92"/>
      <c r="G40" s="91" t="s">
        <v>43</v>
      </c>
      <c r="H40" s="92"/>
      <c r="I40" s="92"/>
      <c r="J40" s="125"/>
    </row>
    <row r="41" spans="2:10" ht="15.75" x14ac:dyDescent="0.25">
      <c r="B41" s="37"/>
      <c r="C41" s="105" t="s">
        <v>61</v>
      </c>
      <c r="D41" s="106"/>
      <c r="E41" s="106"/>
      <c r="F41" s="106"/>
      <c r="G41" s="105" t="s">
        <v>76</v>
      </c>
      <c r="H41" s="106"/>
      <c r="I41" s="106"/>
      <c r="J41" s="122"/>
    </row>
    <row r="42" spans="2:10" ht="15.75" x14ac:dyDescent="0.25">
      <c r="B42" s="35" t="s">
        <v>71</v>
      </c>
      <c r="C42" s="12" t="s">
        <v>62</v>
      </c>
      <c r="D42" s="13"/>
      <c r="E42" s="13"/>
      <c r="F42" s="13"/>
      <c r="G42" s="105" t="s">
        <v>63</v>
      </c>
      <c r="H42" s="106"/>
      <c r="I42" s="106"/>
      <c r="J42" s="122"/>
    </row>
    <row r="43" spans="2:10" ht="15.75" x14ac:dyDescent="0.25">
      <c r="B43" s="3" t="s">
        <v>66</v>
      </c>
      <c r="C43" s="3"/>
      <c r="D43" s="3"/>
      <c r="E43" s="3"/>
      <c r="F43" s="3"/>
      <c r="G43" s="3"/>
      <c r="H43" s="3"/>
      <c r="I43" s="3"/>
      <c r="J43" s="3"/>
    </row>
    <row r="44" spans="2:10" ht="15.75" x14ac:dyDescent="0.25">
      <c r="C44" s="3"/>
      <c r="D44" s="3"/>
      <c r="E44" s="3"/>
      <c r="F44" s="3"/>
      <c r="G44" s="3"/>
      <c r="H44" s="3" t="str">
        <f>Sheet1!F32</f>
        <v>Ditetapkan di : Demak</v>
      </c>
      <c r="I44" s="3"/>
      <c r="J44" s="3"/>
    </row>
    <row r="45" spans="2:10" ht="15.75" x14ac:dyDescent="0.25">
      <c r="B45" s="3"/>
      <c r="C45" s="3"/>
      <c r="D45" s="3"/>
      <c r="E45" s="3"/>
      <c r="F45" s="3"/>
      <c r="G45" s="3"/>
      <c r="H45" s="3" t="str">
        <f>Sheet1!F33</f>
        <v>Pada Tanggal :</v>
      </c>
      <c r="I45" s="3"/>
      <c r="J45" s="56" t="str">
        <f>Sheet1!I33</f>
        <v>10 Juni 2025</v>
      </c>
    </row>
    <row r="46" spans="2:10" ht="15.75" x14ac:dyDescent="0.25">
      <c r="B46" s="3" t="s">
        <v>72</v>
      </c>
      <c r="C46" s="3"/>
      <c r="D46" s="3"/>
      <c r="E46" s="3"/>
      <c r="F46" s="3"/>
      <c r="G46" s="3"/>
      <c r="H46" s="3" t="str">
        <f>Sheet1!F34</f>
        <v>Kepala SMPN 2 Karangtengah</v>
      </c>
      <c r="I46" s="3"/>
      <c r="J46" s="3"/>
    </row>
    <row r="47" spans="2:10" ht="15.75" x14ac:dyDescent="0.25">
      <c r="C47" s="3"/>
      <c r="D47" s="3"/>
      <c r="E47" s="3"/>
      <c r="F47" s="3"/>
      <c r="G47" s="3"/>
      <c r="H47" s="3" t="str">
        <f>Sheet1!F35</f>
        <v>Kab. Demak</v>
      </c>
      <c r="I47" s="3"/>
      <c r="J47" s="3"/>
    </row>
    <row r="48" spans="2:10" ht="15.75" x14ac:dyDescent="0.25">
      <c r="B48" s="3"/>
      <c r="C48" s="3"/>
      <c r="D48" s="3"/>
      <c r="E48" s="3"/>
      <c r="F48" s="3"/>
      <c r="G48" s="3"/>
      <c r="H48" s="3"/>
      <c r="I48" s="3"/>
      <c r="J48" s="3"/>
    </row>
    <row r="49" spans="2:10" ht="15.75" x14ac:dyDescent="0.25">
      <c r="B49" s="3"/>
      <c r="C49" s="3"/>
      <c r="D49" s="3"/>
      <c r="E49" s="3"/>
      <c r="F49" s="3"/>
      <c r="G49" s="3"/>
      <c r="H49" s="3"/>
      <c r="I49" s="3"/>
      <c r="J49" s="3"/>
    </row>
    <row r="50" spans="2:10" ht="15.75" x14ac:dyDescent="0.25">
      <c r="B50" s="3"/>
      <c r="C50" s="3"/>
      <c r="D50" s="3"/>
      <c r="E50" s="3"/>
      <c r="F50" s="3"/>
      <c r="G50" s="3"/>
      <c r="H50" s="3"/>
      <c r="I50" s="3"/>
      <c r="J50" s="3"/>
    </row>
    <row r="51" spans="2:10" ht="15.75" x14ac:dyDescent="0.25">
      <c r="B51" s="3"/>
      <c r="C51" s="3"/>
      <c r="D51" s="3"/>
      <c r="E51" s="3"/>
      <c r="F51" s="3"/>
      <c r="G51" s="3"/>
      <c r="H51" s="3"/>
      <c r="I51" s="3"/>
      <c r="J51" s="3"/>
    </row>
    <row r="52" spans="2:10" ht="15.75" x14ac:dyDescent="0.25">
      <c r="B52" s="3" t="str">
        <f>Sheet1!E18</f>
        <v>Malihatun Ni'mah, S.Si.</v>
      </c>
      <c r="C52" s="3"/>
      <c r="D52" s="3"/>
      <c r="E52" s="3"/>
      <c r="F52" s="3"/>
      <c r="G52" s="3"/>
      <c r="H52" s="18" t="str">
        <f>Sheet1!F39</f>
        <v>Priyantono, S.Pd., M.Pd.</v>
      </c>
      <c r="I52" s="3"/>
      <c r="J52" s="3"/>
    </row>
    <row r="53" spans="2:10" ht="15.75" x14ac:dyDescent="0.25">
      <c r="B53" s="3" t="s">
        <v>13</v>
      </c>
      <c r="C53" s="3" t="str">
        <f>Sheet1!E19</f>
        <v>198008142009032003</v>
      </c>
      <c r="D53" s="3"/>
      <c r="E53" s="3"/>
      <c r="F53" s="3"/>
      <c r="G53" s="3"/>
      <c r="H53" s="3" t="str">
        <f>Sheet1!F40</f>
        <v>NIP. 196902251994031005</v>
      </c>
      <c r="I53" s="3"/>
      <c r="J53" s="3"/>
    </row>
  </sheetData>
  <mergeCells count="57">
    <mergeCell ref="G42:J42"/>
    <mergeCell ref="C19:F21"/>
    <mergeCell ref="C39:F39"/>
    <mergeCell ref="C40:F40"/>
    <mergeCell ref="C41:F41"/>
    <mergeCell ref="G40:J40"/>
    <mergeCell ref="G41:J41"/>
    <mergeCell ref="G38:H38"/>
    <mergeCell ref="I29:J30"/>
    <mergeCell ref="I31:J32"/>
    <mergeCell ref="I33:J34"/>
    <mergeCell ref="I35:J36"/>
    <mergeCell ref="I37:J38"/>
    <mergeCell ref="D38:F38"/>
    <mergeCell ref="G29:H29"/>
    <mergeCell ref="G31:H31"/>
    <mergeCell ref="G36:H36"/>
    <mergeCell ref="G30:H30"/>
    <mergeCell ref="G37:H37"/>
    <mergeCell ref="G32:H32"/>
    <mergeCell ref="G33:H33"/>
    <mergeCell ref="G34:H34"/>
    <mergeCell ref="G35:H35"/>
    <mergeCell ref="C13:F13"/>
    <mergeCell ref="G13:J13"/>
    <mergeCell ref="G19:J21"/>
    <mergeCell ref="B2:J2"/>
    <mergeCell ref="B3:J3"/>
    <mergeCell ref="B4:J4"/>
    <mergeCell ref="B5:J5"/>
    <mergeCell ref="C11:J11"/>
    <mergeCell ref="C18:F18"/>
    <mergeCell ref="C14:F15"/>
    <mergeCell ref="C16:F16"/>
    <mergeCell ref="C17:F17"/>
    <mergeCell ref="B14:B15"/>
    <mergeCell ref="D37:F37"/>
    <mergeCell ref="D36:F36"/>
    <mergeCell ref="D35:F35"/>
    <mergeCell ref="D34:F34"/>
    <mergeCell ref="D33:F33"/>
    <mergeCell ref="B23:B24"/>
    <mergeCell ref="B19:B21"/>
    <mergeCell ref="C22:F22"/>
    <mergeCell ref="C23:F23"/>
    <mergeCell ref="C24:F24"/>
    <mergeCell ref="H24:J24"/>
    <mergeCell ref="D32:F32"/>
    <mergeCell ref="D30:F30"/>
    <mergeCell ref="D29:F29"/>
    <mergeCell ref="D31:F31"/>
    <mergeCell ref="C25:F25"/>
    <mergeCell ref="C26:F26"/>
    <mergeCell ref="C27:F27"/>
    <mergeCell ref="C28:F28"/>
    <mergeCell ref="G28:H28"/>
    <mergeCell ref="I28:J28"/>
  </mergeCells>
  <printOptions horizontalCentered="1"/>
  <pageMargins left="3.937007874015748E-2" right="3.937007874015748E-2" top="3.937007874015748E-2" bottom="3.937007874015748E-2" header="3.937007874015748E-2" footer="3.937007874015748E-2"/>
  <pageSetup paperSize="20000" scale="9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2B162-F6E8-4069-80E0-C693F4A7CCD3}">
  <dimension ref="B2:J62"/>
  <sheetViews>
    <sheetView tabSelected="1" view="pageBreakPreview" zoomScale="70" zoomScaleNormal="100" zoomScaleSheetLayoutView="70" workbookViewId="0">
      <selection activeCell="H16" sqref="H16"/>
    </sheetView>
  </sheetViews>
  <sheetFormatPr defaultRowHeight="15" x14ac:dyDescent="0.25"/>
  <cols>
    <col min="2" max="2" width="10.140625" customWidth="1"/>
    <col min="3" max="3" width="10" customWidth="1"/>
    <col min="4" max="4" width="14" customWidth="1"/>
    <col min="5" max="5" width="16.140625" customWidth="1"/>
    <col min="6" max="6" width="6" customWidth="1"/>
    <col min="7" max="7" width="11" customWidth="1"/>
    <col min="8" max="8" width="13" customWidth="1"/>
    <col min="9" max="9" width="22.85546875" customWidth="1"/>
  </cols>
  <sheetData>
    <row r="2" spans="2:9" x14ac:dyDescent="0.25">
      <c r="B2" s="42"/>
      <c r="C2" s="44"/>
      <c r="D2" s="44"/>
      <c r="E2" s="44"/>
      <c r="F2" s="42" t="s">
        <v>106</v>
      </c>
      <c r="G2" s="44"/>
      <c r="H2" s="44"/>
      <c r="I2" s="58"/>
    </row>
    <row r="3" spans="2:9" x14ac:dyDescent="0.25">
      <c r="B3" s="40"/>
      <c r="C3" s="45"/>
      <c r="D3" s="45"/>
      <c r="E3" s="45"/>
      <c r="F3" s="40" t="s">
        <v>77</v>
      </c>
      <c r="G3" s="45"/>
      <c r="H3" s="45"/>
      <c r="I3" s="48"/>
    </row>
    <row r="4" spans="2:9" x14ac:dyDescent="0.25">
      <c r="B4" s="40"/>
      <c r="C4" s="45"/>
      <c r="D4" s="45"/>
      <c r="E4" s="45"/>
      <c r="F4" s="40" t="s">
        <v>79</v>
      </c>
      <c r="G4" s="114" t="str">
        <f>Sheet1!C28</f>
        <v>Hotel Front One HK Resort Semarang</v>
      </c>
      <c r="H4" s="114"/>
      <c r="I4" s="115"/>
    </row>
    <row r="5" spans="2:9" x14ac:dyDescent="0.25">
      <c r="B5" s="40"/>
      <c r="C5" s="45"/>
      <c r="D5" s="45"/>
      <c r="E5" s="45"/>
      <c r="F5" s="40" t="s">
        <v>80</v>
      </c>
      <c r="G5" s="45"/>
      <c r="H5" s="137" t="s">
        <v>119</v>
      </c>
      <c r="I5" s="48"/>
    </row>
    <row r="6" spans="2:9" x14ac:dyDescent="0.25">
      <c r="B6" s="40"/>
      <c r="C6" s="45"/>
      <c r="D6" s="45"/>
      <c r="E6" s="45"/>
      <c r="F6" s="40"/>
      <c r="G6" s="45"/>
      <c r="H6" s="45"/>
      <c r="I6" s="48"/>
    </row>
    <row r="7" spans="2:9" x14ac:dyDescent="0.25">
      <c r="B7" s="40"/>
      <c r="C7" s="45"/>
      <c r="D7" s="45"/>
      <c r="E7" s="45"/>
      <c r="F7" s="40" t="s">
        <v>103</v>
      </c>
      <c r="G7" s="45"/>
      <c r="H7" s="45"/>
      <c r="I7" s="48"/>
    </row>
    <row r="8" spans="2:9" x14ac:dyDescent="0.25">
      <c r="B8" s="40"/>
      <c r="C8" s="45"/>
      <c r="D8" s="45"/>
      <c r="E8" s="45"/>
      <c r="F8" s="40"/>
      <c r="G8" s="45"/>
      <c r="H8" s="45"/>
      <c r="I8" s="48"/>
    </row>
    <row r="9" spans="2:9" x14ac:dyDescent="0.25">
      <c r="B9" s="40"/>
      <c r="C9" s="45"/>
      <c r="D9" s="45"/>
      <c r="E9" s="45"/>
      <c r="F9" s="40" t="s">
        <v>78</v>
      </c>
      <c r="G9" s="45"/>
      <c r="H9" s="45"/>
      <c r="I9" s="48"/>
    </row>
    <row r="10" spans="2:9" x14ac:dyDescent="0.25">
      <c r="B10" s="40"/>
      <c r="C10" s="45"/>
      <c r="D10" s="45"/>
      <c r="E10" s="45"/>
      <c r="F10" s="40" t="s">
        <v>78</v>
      </c>
      <c r="G10" s="45"/>
      <c r="H10" s="45"/>
      <c r="I10" s="48"/>
    </row>
    <row r="11" spans="2:9" x14ac:dyDescent="0.25">
      <c r="B11" s="40"/>
      <c r="C11" s="45"/>
      <c r="D11" s="45"/>
      <c r="E11" s="45"/>
      <c r="F11" s="40"/>
      <c r="G11" s="45"/>
      <c r="H11" s="45"/>
      <c r="I11" s="48"/>
    </row>
    <row r="12" spans="2:9" ht="15.75" x14ac:dyDescent="0.25">
      <c r="B12" s="40"/>
      <c r="C12" s="45"/>
      <c r="D12" s="45"/>
      <c r="E12" s="45"/>
      <c r="F12" s="57" t="str">
        <f>Sheet1!F39</f>
        <v>Priyantono, S.Pd., M.Pd.</v>
      </c>
      <c r="G12" s="45"/>
      <c r="H12" s="45"/>
      <c r="I12" s="48"/>
    </row>
    <row r="13" spans="2:9" x14ac:dyDescent="0.25">
      <c r="B13" s="46"/>
      <c r="C13" s="47"/>
      <c r="D13" s="47"/>
      <c r="E13" s="47"/>
      <c r="F13" s="46" t="str">
        <f>Sheet1!F40</f>
        <v>NIP. 196902251994031005</v>
      </c>
      <c r="G13" s="47"/>
      <c r="H13" s="47"/>
      <c r="I13" s="49"/>
    </row>
    <row r="14" spans="2:9" x14ac:dyDescent="0.25">
      <c r="B14" s="42" t="s">
        <v>81</v>
      </c>
      <c r="C14" s="111" t="str">
        <f>G4</f>
        <v>Hotel Front One HK Resort Semarang</v>
      </c>
      <c r="D14" s="111"/>
      <c r="E14" s="112"/>
      <c r="F14" s="42" t="s">
        <v>86</v>
      </c>
      <c r="G14" s="44"/>
      <c r="H14" s="118" t="s">
        <v>105</v>
      </c>
      <c r="I14" s="131"/>
    </row>
    <row r="15" spans="2:9" ht="15" customHeight="1" x14ac:dyDescent="0.25">
      <c r="B15" s="40" t="s">
        <v>82</v>
      </c>
      <c r="C15" s="45"/>
      <c r="D15" s="138" t="s">
        <v>119</v>
      </c>
      <c r="E15" s="45"/>
      <c r="F15" s="40" t="s">
        <v>79</v>
      </c>
      <c r="G15" s="114" t="str">
        <f>G4</f>
        <v>Hotel Front One HK Resort Semarang</v>
      </c>
      <c r="H15" s="114"/>
      <c r="I15" s="115"/>
    </row>
    <row r="16" spans="2:9" x14ac:dyDescent="0.25">
      <c r="B16" s="40" t="s">
        <v>83</v>
      </c>
      <c r="C16" s="45"/>
      <c r="D16" s="45"/>
      <c r="E16" s="45"/>
      <c r="F16" s="40" t="s">
        <v>82</v>
      </c>
      <c r="G16" s="45"/>
      <c r="H16" s="67" t="str">
        <f>H5</f>
        <v>11 Juni 2025</v>
      </c>
      <c r="I16" s="48"/>
    </row>
    <row r="17" spans="2:9" x14ac:dyDescent="0.25">
      <c r="B17" s="40"/>
      <c r="C17" s="45"/>
      <c r="D17" s="45"/>
      <c r="E17" s="45"/>
      <c r="F17" s="40" t="s">
        <v>83</v>
      </c>
      <c r="G17" s="45"/>
      <c r="H17" s="45"/>
      <c r="I17" s="48"/>
    </row>
    <row r="18" spans="2:9" x14ac:dyDescent="0.25">
      <c r="B18" s="40"/>
      <c r="C18" s="45"/>
      <c r="D18" s="45"/>
      <c r="E18" s="45"/>
      <c r="F18" s="40"/>
      <c r="G18" s="45"/>
      <c r="H18" s="45"/>
      <c r="I18" s="48"/>
    </row>
    <row r="19" spans="2:9" x14ac:dyDescent="0.25">
      <c r="B19" s="40"/>
      <c r="C19" s="45"/>
      <c r="D19" s="45"/>
      <c r="E19" s="45"/>
      <c r="F19" s="40"/>
      <c r="G19" s="45"/>
      <c r="H19" s="45"/>
      <c r="I19" s="48"/>
    </row>
    <row r="20" spans="2:9" x14ac:dyDescent="0.25">
      <c r="B20" s="123" t="s">
        <v>84</v>
      </c>
      <c r="C20" s="124"/>
      <c r="D20" s="124"/>
      <c r="E20" s="124"/>
      <c r="F20" s="123" t="s">
        <v>84</v>
      </c>
      <c r="G20" s="136"/>
      <c r="H20" s="136"/>
      <c r="I20" s="128"/>
    </row>
    <row r="21" spans="2:9" x14ac:dyDescent="0.25">
      <c r="B21" s="123" t="s">
        <v>85</v>
      </c>
      <c r="C21" s="124"/>
      <c r="D21" s="124"/>
      <c r="E21" s="124"/>
      <c r="F21" s="119" t="s">
        <v>85</v>
      </c>
      <c r="G21" s="120"/>
      <c r="H21" s="120"/>
      <c r="I21" s="130"/>
    </row>
    <row r="22" spans="2:9" x14ac:dyDescent="0.25">
      <c r="B22" s="42" t="s">
        <v>87</v>
      </c>
      <c r="C22" s="44"/>
      <c r="D22" s="44"/>
      <c r="E22" s="44"/>
      <c r="F22" s="42" t="s">
        <v>86</v>
      </c>
      <c r="G22" s="44"/>
      <c r="H22" s="44"/>
      <c r="I22" s="58"/>
    </row>
    <row r="23" spans="2:9" x14ac:dyDescent="0.25">
      <c r="B23" s="40" t="s">
        <v>82</v>
      </c>
      <c r="C23" s="45"/>
      <c r="D23" s="45"/>
      <c r="E23" s="45"/>
      <c r="F23" s="40" t="s">
        <v>79</v>
      </c>
      <c r="G23" s="45"/>
      <c r="H23" s="45"/>
      <c r="I23" s="48"/>
    </row>
    <row r="24" spans="2:9" x14ac:dyDescent="0.25">
      <c r="B24" s="40" t="s">
        <v>83</v>
      </c>
      <c r="C24" s="45"/>
      <c r="D24" s="45"/>
      <c r="E24" s="45"/>
      <c r="F24" s="40" t="s">
        <v>82</v>
      </c>
      <c r="G24" s="45"/>
      <c r="H24" s="45"/>
      <c r="I24" s="48"/>
    </row>
    <row r="25" spans="2:9" x14ac:dyDescent="0.25">
      <c r="B25" s="40"/>
      <c r="C25" s="45"/>
      <c r="D25" s="45"/>
      <c r="E25" s="45"/>
      <c r="F25" s="40" t="s">
        <v>83</v>
      </c>
      <c r="G25" s="45"/>
      <c r="H25" s="45"/>
      <c r="I25" s="48"/>
    </row>
    <row r="26" spans="2:9" x14ac:dyDescent="0.25">
      <c r="B26" s="40"/>
      <c r="C26" s="45"/>
      <c r="D26" s="45"/>
      <c r="E26" s="45"/>
      <c r="F26" s="40"/>
      <c r="G26" s="45"/>
      <c r="H26" s="45"/>
      <c r="I26" s="48"/>
    </row>
    <row r="27" spans="2:9" x14ac:dyDescent="0.25">
      <c r="B27" s="40"/>
      <c r="C27" s="45"/>
      <c r="D27" s="45"/>
      <c r="E27" s="45"/>
      <c r="F27" s="40"/>
      <c r="G27" s="45"/>
      <c r="H27" s="45"/>
      <c r="I27" s="48"/>
    </row>
    <row r="28" spans="2:9" x14ac:dyDescent="0.25">
      <c r="B28" s="123" t="s">
        <v>84</v>
      </c>
      <c r="C28" s="124"/>
      <c r="D28" s="124"/>
      <c r="E28" s="124"/>
      <c r="F28" s="123" t="s">
        <v>84</v>
      </c>
      <c r="G28" s="136"/>
      <c r="H28" s="136"/>
      <c r="I28" s="128"/>
    </row>
    <row r="29" spans="2:9" x14ac:dyDescent="0.25">
      <c r="B29" s="123" t="s">
        <v>85</v>
      </c>
      <c r="C29" s="124"/>
      <c r="D29" s="124"/>
      <c r="E29" s="124"/>
      <c r="F29" s="119" t="s">
        <v>85</v>
      </c>
      <c r="G29" s="120"/>
      <c r="H29" s="120"/>
      <c r="I29" s="130"/>
    </row>
    <row r="30" spans="2:9" x14ac:dyDescent="0.25">
      <c r="B30" s="42" t="s">
        <v>88</v>
      </c>
      <c r="C30" s="44"/>
      <c r="D30" s="44"/>
      <c r="E30" s="44"/>
      <c r="F30" s="42" t="s">
        <v>86</v>
      </c>
      <c r="G30" s="44"/>
      <c r="H30" s="44"/>
      <c r="I30" s="58"/>
    </row>
    <row r="31" spans="2:9" x14ac:dyDescent="0.25">
      <c r="B31" s="40" t="s">
        <v>82</v>
      </c>
      <c r="C31" s="45"/>
      <c r="D31" s="45"/>
      <c r="E31" s="45"/>
      <c r="F31" s="40" t="s">
        <v>79</v>
      </c>
      <c r="G31" s="45"/>
      <c r="H31" s="45"/>
      <c r="I31" s="48"/>
    </row>
    <row r="32" spans="2:9" x14ac:dyDescent="0.25">
      <c r="B32" s="40" t="s">
        <v>83</v>
      </c>
      <c r="C32" s="45"/>
      <c r="D32" s="45"/>
      <c r="E32" s="45"/>
      <c r="F32" s="40" t="s">
        <v>82</v>
      </c>
      <c r="G32" s="45"/>
      <c r="H32" s="45"/>
      <c r="I32" s="48"/>
    </row>
    <row r="33" spans="2:9" x14ac:dyDescent="0.25">
      <c r="B33" s="40"/>
      <c r="C33" s="45"/>
      <c r="D33" s="45"/>
      <c r="E33" s="45"/>
      <c r="F33" s="40" t="s">
        <v>83</v>
      </c>
      <c r="G33" s="45"/>
      <c r="H33" s="45"/>
      <c r="I33" s="48"/>
    </row>
    <row r="34" spans="2:9" x14ac:dyDescent="0.25">
      <c r="B34" s="40"/>
      <c r="C34" s="45"/>
      <c r="D34" s="45"/>
      <c r="E34" s="45"/>
      <c r="F34" s="40"/>
      <c r="G34" s="45"/>
      <c r="H34" s="45"/>
      <c r="I34" s="48"/>
    </row>
    <row r="35" spans="2:9" x14ac:dyDescent="0.25">
      <c r="B35" s="40"/>
      <c r="C35" s="45"/>
      <c r="D35" s="45"/>
      <c r="E35" s="45"/>
      <c r="F35" s="40"/>
      <c r="G35" s="45"/>
      <c r="H35" s="45"/>
      <c r="I35" s="48"/>
    </row>
    <row r="36" spans="2:9" x14ac:dyDescent="0.25">
      <c r="B36" s="123" t="s">
        <v>84</v>
      </c>
      <c r="C36" s="124"/>
      <c r="D36" s="124"/>
      <c r="E36" s="124"/>
      <c r="F36" s="123" t="s">
        <v>84</v>
      </c>
      <c r="G36" s="136"/>
      <c r="H36" s="136"/>
      <c r="I36" s="128"/>
    </row>
    <row r="37" spans="2:9" x14ac:dyDescent="0.25">
      <c r="B37" s="123" t="s">
        <v>85</v>
      </c>
      <c r="C37" s="124"/>
      <c r="D37" s="124"/>
      <c r="E37" s="124"/>
      <c r="F37" s="119" t="s">
        <v>85</v>
      </c>
      <c r="G37" s="120"/>
      <c r="H37" s="120"/>
      <c r="I37" s="130"/>
    </row>
    <row r="38" spans="2:9" x14ac:dyDescent="0.25">
      <c r="B38" s="42" t="s">
        <v>89</v>
      </c>
      <c r="C38" s="44"/>
      <c r="D38" s="44"/>
      <c r="E38" s="44"/>
      <c r="F38" s="42" t="s">
        <v>86</v>
      </c>
      <c r="G38" s="44"/>
      <c r="H38" s="44"/>
      <c r="I38" s="58"/>
    </row>
    <row r="39" spans="2:9" x14ac:dyDescent="0.25">
      <c r="B39" s="40" t="s">
        <v>82</v>
      </c>
      <c r="C39" s="45"/>
      <c r="D39" s="45"/>
      <c r="E39" s="45"/>
      <c r="F39" s="40" t="s">
        <v>79</v>
      </c>
      <c r="G39" s="45"/>
      <c r="H39" s="45"/>
      <c r="I39" s="48"/>
    </row>
    <row r="40" spans="2:9" x14ac:dyDescent="0.25">
      <c r="B40" s="40" t="s">
        <v>83</v>
      </c>
      <c r="C40" s="45"/>
      <c r="D40" s="45"/>
      <c r="E40" s="45"/>
      <c r="F40" s="40" t="s">
        <v>82</v>
      </c>
      <c r="G40" s="45"/>
      <c r="H40" s="45"/>
      <c r="I40" s="48"/>
    </row>
    <row r="41" spans="2:9" x14ac:dyDescent="0.25">
      <c r="B41" s="40"/>
      <c r="C41" s="45"/>
      <c r="D41" s="45"/>
      <c r="E41" s="45"/>
      <c r="F41" s="40" t="s">
        <v>83</v>
      </c>
      <c r="G41" s="45"/>
      <c r="H41" s="45"/>
      <c r="I41" s="48"/>
    </row>
    <row r="42" spans="2:9" x14ac:dyDescent="0.25">
      <c r="B42" s="40"/>
      <c r="C42" s="45"/>
      <c r="D42" s="45"/>
      <c r="E42" s="45"/>
      <c r="F42" s="40"/>
      <c r="G42" s="45"/>
      <c r="H42" s="45"/>
      <c r="I42" s="48"/>
    </row>
    <row r="43" spans="2:9" x14ac:dyDescent="0.25">
      <c r="B43" s="40"/>
      <c r="C43" s="45"/>
      <c r="D43" s="45"/>
      <c r="E43" s="45"/>
      <c r="F43" s="40"/>
      <c r="G43" s="45"/>
      <c r="H43" s="45"/>
      <c r="I43" s="48"/>
    </row>
    <row r="44" spans="2:9" x14ac:dyDescent="0.25">
      <c r="B44" s="123" t="s">
        <v>84</v>
      </c>
      <c r="C44" s="124"/>
      <c r="D44" s="124"/>
      <c r="E44" s="124"/>
      <c r="F44" s="123" t="s">
        <v>84</v>
      </c>
      <c r="G44" s="136"/>
      <c r="H44" s="136"/>
      <c r="I44" s="128"/>
    </row>
    <row r="45" spans="2:9" x14ac:dyDescent="0.25">
      <c r="B45" s="119" t="s">
        <v>85</v>
      </c>
      <c r="C45" s="120"/>
      <c r="D45" s="120"/>
      <c r="E45" s="120"/>
      <c r="F45" s="119" t="s">
        <v>85</v>
      </c>
      <c r="G45" s="120"/>
      <c r="H45" s="120"/>
      <c r="I45" s="130"/>
    </row>
    <row r="46" spans="2:9" ht="15.75" customHeight="1" x14ac:dyDescent="0.25">
      <c r="B46" s="42"/>
      <c r="C46" s="44"/>
      <c r="D46" s="44"/>
      <c r="E46" s="44"/>
      <c r="F46" s="110" t="s">
        <v>97</v>
      </c>
      <c r="G46" s="111"/>
      <c r="H46" s="111"/>
      <c r="I46" s="112"/>
    </row>
    <row r="47" spans="2:9" x14ac:dyDescent="0.25">
      <c r="B47" s="40"/>
      <c r="C47" s="45"/>
      <c r="D47" s="45"/>
      <c r="E47" s="45"/>
      <c r="F47" s="113"/>
      <c r="G47" s="135"/>
      <c r="H47" s="135"/>
      <c r="I47" s="115"/>
    </row>
    <row r="48" spans="2:9" x14ac:dyDescent="0.25">
      <c r="B48" s="40"/>
      <c r="C48" s="45"/>
      <c r="D48" s="45"/>
      <c r="E48" s="45"/>
      <c r="F48" s="113"/>
      <c r="G48" s="135"/>
      <c r="H48" s="135"/>
      <c r="I48" s="115"/>
    </row>
    <row r="49" spans="2:10" x14ac:dyDescent="0.25">
      <c r="B49" s="40"/>
      <c r="C49" s="45"/>
      <c r="D49" s="45"/>
      <c r="E49" s="45"/>
      <c r="F49" s="113"/>
      <c r="G49" s="135"/>
      <c r="H49" s="135"/>
      <c r="I49" s="115"/>
    </row>
    <row r="50" spans="2:10" x14ac:dyDescent="0.25">
      <c r="B50" s="40"/>
      <c r="C50" s="45"/>
      <c r="D50" s="45"/>
      <c r="E50" s="45"/>
      <c r="F50" s="53"/>
      <c r="G50" s="54"/>
      <c r="H50" s="54"/>
      <c r="I50" s="55"/>
    </row>
    <row r="51" spans="2:10" x14ac:dyDescent="0.25">
      <c r="B51" s="40"/>
      <c r="C51" s="45"/>
      <c r="D51" s="45"/>
      <c r="E51" s="45"/>
      <c r="F51" s="40"/>
      <c r="G51" s="45"/>
      <c r="H51" s="45" t="s">
        <v>98</v>
      </c>
      <c r="I51" s="68" t="str">
        <f>Sheet1!I33</f>
        <v>10 Juni 2025</v>
      </c>
    </row>
    <row r="52" spans="2:10" x14ac:dyDescent="0.25">
      <c r="B52" s="40"/>
      <c r="C52" s="45"/>
      <c r="D52" s="45"/>
      <c r="E52" s="45"/>
      <c r="F52" s="40"/>
      <c r="G52" s="45"/>
      <c r="H52" s="45"/>
      <c r="I52" s="48"/>
    </row>
    <row r="53" spans="2:10" x14ac:dyDescent="0.25">
      <c r="B53" s="40"/>
      <c r="C53" s="45"/>
      <c r="D53" s="45"/>
      <c r="E53" s="45"/>
      <c r="F53" s="40" t="s">
        <v>108</v>
      </c>
      <c r="G53" s="45"/>
      <c r="H53" s="45"/>
      <c r="I53" s="48"/>
    </row>
    <row r="54" spans="2:10" x14ac:dyDescent="0.25">
      <c r="B54" s="40"/>
      <c r="C54" s="45"/>
      <c r="D54" s="45"/>
      <c r="E54" s="45"/>
      <c r="F54" s="40"/>
      <c r="G54" s="45"/>
      <c r="H54" s="45"/>
      <c r="I54" s="48"/>
    </row>
    <row r="55" spans="2:10" x14ac:dyDescent="0.25">
      <c r="B55" s="40"/>
      <c r="C55" s="45"/>
      <c r="D55" s="45"/>
      <c r="E55" s="45"/>
      <c r="F55" s="40"/>
      <c r="G55" s="45"/>
      <c r="H55" s="45"/>
      <c r="I55" s="48"/>
    </row>
    <row r="56" spans="2:10" x14ac:dyDescent="0.25">
      <c r="B56" s="40"/>
      <c r="C56" s="45"/>
      <c r="D56" s="45"/>
      <c r="E56" s="45"/>
      <c r="F56" s="40"/>
      <c r="G56" s="45"/>
      <c r="H56" s="45"/>
      <c r="I56" s="48"/>
    </row>
    <row r="57" spans="2:10" ht="15.75" x14ac:dyDescent="0.25">
      <c r="B57" s="40"/>
      <c r="C57" s="45"/>
      <c r="D57" s="45"/>
      <c r="E57" s="45"/>
      <c r="F57" s="57" t="str">
        <f>Sheet1!F39</f>
        <v>Priyantono, S.Pd., M.Pd.</v>
      </c>
      <c r="G57" s="45"/>
      <c r="H57" s="45"/>
      <c r="I57" s="48"/>
    </row>
    <row r="58" spans="2:10" x14ac:dyDescent="0.25">
      <c r="B58" s="59"/>
      <c r="C58" s="60"/>
      <c r="D58" s="60"/>
      <c r="E58" s="60"/>
      <c r="F58" s="40" t="str">
        <f>Sheet1!F40</f>
        <v>NIP. 196902251994031005</v>
      </c>
      <c r="G58" s="60"/>
      <c r="H58" s="60"/>
      <c r="I58" s="61"/>
    </row>
    <row r="59" spans="2:10" x14ac:dyDescent="0.25">
      <c r="B59" s="50" t="s">
        <v>99</v>
      </c>
      <c r="C59" s="51"/>
      <c r="D59" s="51"/>
      <c r="E59" s="51"/>
      <c r="F59" s="50"/>
      <c r="G59" s="51"/>
      <c r="H59" s="51"/>
      <c r="I59" s="52"/>
    </row>
    <row r="60" spans="2:10" x14ac:dyDescent="0.25">
      <c r="B60" s="45" t="s">
        <v>100</v>
      </c>
      <c r="C60" s="45"/>
      <c r="D60" s="45"/>
      <c r="E60" s="45"/>
      <c r="F60" s="45"/>
      <c r="G60" s="45"/>
      <c r="H60" s="45"/>
      <c r="I60" s="45"/>
    </row>
    <row r="61" spans="2:10" ht="15" customHeight="1" x14ac:dyDescent="0.25">
      <c r="B61" s="114" t="s">
        <v>90</v>
      </c>
      <c r="C61" s="114"/>
      <c r="D61" s="114"/>
      <c r="E61" s="114"/>
      <c r="F61" s="114"/>
      <c r="G61" s="114"/>
      <c r="H61" s="114"/>
      <c r="I61" s="114"/>
      <c r="J61" s="17"/>
    </row>
    <row r="62" spans="2:10" ht="50.25" customHeight="1" x14ac:dyDescent="0.25">
      <c r="B62" s="114"/>
      <c r="C62" s="114"/>
      <c r="D62" s="114"/>
      <c r="E62" s="114"/>
      <c r="F62" s="114"/>
      <c r="G62" s="114"/>
      <c r="H62" s="114"/>
      <c r="I62" s="114"/>
      <c r="J62" s="17"/>
    </row>
  </sheetData>
  <mergeCells count="22">
    <mergeCell ref="F28:I28"/>
    <mergeCell ref="G15:I15"/>
    <mergeCell ref="B20:E20"/>
    <mergeCell ref="B21:E21"/>
    <mergeCell ref="F20:I20"/>
    <mergeCell ref="F21:I21"/>
    <mergeCell ref="F29:I29"/>
    <mergeCell ref="B28:E28"/>
    <mergeCell ref="G4:I4"/>
    <mergeCell ref="B61:I62"/>
    <mergeCell ref="F46:I49"/>
    <mergeCell ref="B36:E36"/>
    <mergeCell ref="B37:E37"/>
    <mergeCell ref="F36:I36"/>
    <mergeCell ref="F37:I37"/>
    <mergeCell ref="B44:E44"/>
    <mergeCell ref="B45:E45"/>
    <mergeCell ref="F44:I44"/>
    <mergeCell ref="F45:I45"/>
    <mergeCell ref="C14:E14"/>
    <mergeCell ref="H14:I14"/>
    <mergeCell ref="B29:E29"/>
  </mergeCells>
  <printOptions horizontalCentered="1"/>
  <pageMargins left="3.937007874015748E-2" right="3.937007874015748E-2" top="3.937007874015748E-2" bottom="3.937007874015748E-2" header="3.937007874015748E-2" footer="3.937007874015748E-2"/>
  <pageSetup paperSize="20000" scale="9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1D88C-61F5-4480-BD46-9F2402BE5906}">
  <dimension ref="B1:J43"/>
  <sheetViews>
    <sheetView view="pageBreakPreview" zoomScale="70" zoomScaleNormal="100" zoomScaleSheetLayoutView="70" workbookViewId="0">
      <selection activeCell="D7" sqref="D7:I8"/>
    </sheetView>
  </sheetViews>
  <sheetFormatPr defaultRowHeight="15" x14ac:dyDescent="0.25"/>
  <cols>
    <col min="2" max="2" width="18.85546875" customWidth="1"/>
    <col min="3" max="3" width="1.5703125" customWidth="1"/>
    <col min="4" max="8" width="9.7109375" customWidth="1"/>
    <col min="9" max="9" width="8.140625" customWidth="1"/>
  </cols>
  <sheetData>
    <row r="1" spans="2:10" ht="15.75" x14ac:dyDescent="0.25">
      <c r="B1" s="3"/>
      <c r="C1" s="3"/>
      <c r="D1" s="3"/>
      <c r="E1" s="3"/>
      <c r="F1" s="3"/>
      <c r="G1" s="3"/>
      <c r="H1" s="3"/>
      <c r="I1" s="3"/>
    </row>
    <row r="2" spans="2:10" ht="15.75" x14ac:dyDescent="0.25">
      <c r="B2" s="117" t="s">
        <v>96</v>
      </c>
      <c r="C2" s="117"/>
      <c r="D2" s="117"/>
      <c r="E2" s="117"/>
      <c r="F2" s="117"/>
      <c r="G2" s="117"/>
      <c r="H2" s="117"/>
      <c r="I2" s="117"/>
    </row>
    <row r="3" spans="2:10" ht="15.75" x14ac:dyDescent="0.25">
      <c r="B3" s="3"/>
      <c r="C3" s="3"/>
      <c r="D3" s="3"/>
      <c r="E3" s="3"/>
      <c r="F3" s="3"/>
      <c r="G3" s="3"/>
      <c r="H3" s="3"/>
      <c r="I3" s="3"/>
    </row>
    <row r="4" spans="2:10" ht="15.75" x14ac:dyDescent="0.25">
      <c r="B4" s="45" t="s">
        <v>102</v>
      </c>
      <c r="C4" s="16" t="s">
        <v>25</v>
      </c>
      <c r="D4" s="3" t="str">
        <f>Sheet1!C29</f>
        <v>Rabu s.d. Jumat, 11 s.d. 13 Juni 2025</v>
      </c>
      <c r="E4" s="3"/>
      <c r="F4" s="3"/>
      <c r="G4" s="3"/>
      <c r="H4" s="3"/>
      <c r="I4" s="3"/>
    </row>
    <row r="5" spans="2:10" ht="15.75" x14ac:dyDescent="0.25">
      <c r="B5" s="45" t="s">
        <v>91</v>
      </c>
      <c r="C5" s="16" t="s">
        <v>25</v>
      </c>
      <c r="D5" s="133" t="str">
        <f>Sheet1!C28</f>
        <v>Hotel Front One HK Resort Semarang</v>
      </c>
      <c r="E5" s="133"/>
      <c r="F5" s="133"/>
      <c r="G5" s="133"/>
      <c r="H5" s="133"/>
      <c r="I5" s="133"/>
    </row>
    <row r="6" spans="2:10" ht="21" customHeight="1" x14ac:dyDescent="0.25">
      <c r="B6" s="45" t="s">
        <v>92</v>
      </c>
      <c r="C6" s="16" t="s">
        <v>25</v>
      </c>
      <c r="D6" s="134" t="s">
        <v>74</v>
      </c>
      <c r="E6" s="114"/>
      <c r="F6" s="114"/>
      <c r="G6" s="114"/>
      <c r="H6" s="114"/>
      <c r="I6" s="114"/>
    </row>
    <row r="7" spans="2:10" ht="15.75" x14ac:dyDescent="0.25">
      <c r="B7" s="45" t="s">
        <v>93</v>
      </c>
      <c r="C7" s="16" t="s">
        <v>25</v>
      </c>
      <c r="D7" s="132" t="str">
        <f>Sheet1!_Hlk173475416</f>
        <v>Bimbingan Teknis Penyusunan Perangkat Pembelajaran Berbasis IT bagi Guru</v>
      </c>
      <c r="E7" s="132"/>
      <c r="F7" s="132"/>
      <c r="G7" s="132"/>
      <c r="H7" s="132"/>
      <c r="I7" s="132"/>
    </row>
    <row r="8" spans="2:10" ht="15.75" x14ac:dyDescent="0.25">
      <c r="B8" s="45"/>
      <c r="C8" s="16"/>
      <c r="D8" s="132"/>
      <c r="E8" s="132"/>
      <c r="F8" s="132"/>
      <c r="G8" s="132"/>
      <c r="H8" s="132"/>
      <c r="I8" s="132"/>
    </row>
    <row r="9" spans="2:10" ht="15.75" x14ac:dyDescent="0.25">
      <c r="B9" s="45" t="s">
        <v>94</v>
      </c>
      <c r="C9" s="16" t="s">
        <v>25</v>
      </c>
      <c r="D9" s="3"/>
      <c r="E9" s="3"/>
      <c r="F9" s="3"/>
      <c r="G9" s="3"/>
      <c r="H9" s="3"/>
      <c r="I9" s="3"/>
    </row>
    <row r="10" spans="2:10" ht="15.75" x14ac:dyDescent="0.25">
      <c r="B10" s="3"/>
      <c r="C10" s="3"/>
      <c r="D10" s="3"/>
      <c r="E10" s="3"/>
      <c r="F10" s="3"/>
      <c r="G10" s="3"/>
      <c r="H10" s="3"/>
      <c r="I10" s="3"/>
    </row>
    <row r="11" spans="2:10" ht="15.75" x14ac:dyDescent="0.25">
      <c r="B11" s="3" t="s">
        <v>104</v>
      </c>
      <c r="C11" s="3"/>
      <c r="D11" s="3"/>
      <c r="E11" s="3"/>
      <c r="F11" s="3"/>
      <c r="G11" s="3"/>
      <c r="H11" s="3"/>
      <c r="I11" s="3"/>
    </row>
    <row r="12" spans="2:10" ht="15.75" x14ac:dyDescent="0.25">
      <c r="B12" s="3" t="s">
        <v>104</v>
      </c>
      <c r="C12" s="3"/>
      <c r="D12" s="3"/>
      <c r="E12" s="3"/>
      <c r="F12" s="3"/>
      <c r="G12" s="3"/>
      <c r="H12" s="3"/>
      <c r="I12" s="3"/>
    </row>
    <row r="13" spans="2:10" ht="15.75" x14ac:dyDescent="0.25">
      <c r="B13" s="3" t="s">
        <v>104</v>
      </c>
      <c r="C13" s="3"/>
      <c r="D13" s="3"/>
      <c r="E13" s="16"/>
      <c r="F13" s="16"/>
      <c r="G13" s="16"/>
      <c r="H13" s="16"/>
      <c r="I13" s="16"/>
      <c r="J13" s="7"/>
    </row>
    <row r="14" spans="2:10" ht="15.75" x14ac:dyDescent="0.25">
      <c r="B14" s="3" t="s">
        <v>104</v>
      </c>
      <c r="C14" s="3"/>
      <c r="D14" s="3"/>
      <c r="E14" s="16"/>
      <c r="F14" s="16"/>
      <c r="G14" s="16"/>
      <c r="H14" s="16"/>
      <c r="I14" s="16"/>
      <c r="J14" s="7"/>
    </row>
    <row r="15" spans="2:10" ht="15.75" x14ac:dyDescent="0.25">
      <c r="B15" s="3" t="s">
        <v>104</v>
      </c>
      <c r="C15" s="3"/>
      <c r="D15" s="3"/>
      <c r="E15" s="16"/>
      <c r="F15" s="16"/>
      <c r="G15" s="16"/>
      <c r="H15" s="16"/>
      <c r="I15" s="16"/>
      <c r="J15" s="7"/>
    </row>
    <row r="16" spans="2:10" ht="15.75" x14ac:dyDescent="0.25">
      <c r="B16" s="3" t="s">
        <v>104</v>
      </c>
      <c r="C16" s="3"/>
      <c r="D16" s="3"/>
      <c r="E16" s="16"/>
      <c r="F16" s="16"/>
      <c r="G16" s="16"/>
      <c r="H16" s="16"/>
      <c r="I16" s="16"/>
      <c r="J16" s="7"/>
    </row>
    <row r="17" spans="2:10" ht="15.75" x14ac:dyDescent="0.25">
      <c r="B17" s="3" t="s">
        <v>104</v>
      </c>
      <c r="C17" s="3"/>
      <c r="D17" s="3"/>
      <c r="E17" s="16"/>
      <c r="F17" s="16"/>
      <c r="G17" s="16"/>
      <c r="H17" s="16"/>
      <c r="I17" s="16"/>
      <c r="J17" s="7"/>
    </row>
    <row r="18" spans="2:10" ht="15.75" x14ac:dyDescent="0.25">
      <c r="B18" s="3" t="s">
        <v>104</v>
      </c>
      <c r="C18" s="3"/>
      <c r="D18" s="3"/>
      <c r="E18" s="16"/>
      <c r="F18" s="16"/>
      <c r="G18" s="16"/>
      <c r="H18" s="16"/>
      <c r="I18" s="16"/>
      <c r="J18" s="7"/>
    </row>
    <row r="19" spans="2:10" ht="15.75" x14ac:dyDescent="0.25">
      <c r="B19" s="3" t="s">
        <v>104</v>
      </c>
      <c r="C19" s="3"/>
      <c r="D19" s="3"/>
      <c r="E19" s="16"/>
      <c r="F19" s="16"/>
      <c r="G19" s="16"/>
      <c r="H19" s="16"/>
      <c r="I19" s="16"/>
      <c r="J19" s="7"/>
    </row>
    <row r="20" spans="2:10" ht="15.75" x14ac:dyDescent="0.25">
      <c r="B20" s="3" t="s">
        <v>104</v>
      </c>
      <c r="C20" s="3"/>
      <c r="D20" s="3"/>
      <c r="E20" s="16"/>
      <c r="F20" s="16"/>
      <c r="G20" s="16"/>
      <c r="H20" s="16"/>
      <c r="I20" s="16"/>
      <c r="J20" s="7"/>
    </row>
    <row r="21" spans="2:10" ht="15.75" x14ac:dyDescent="0.25">
      <c r="B21" s="3" t="s">
        <v>104</v>
      </c>
      <c r="C21" s="3"/>
      <c r="D21" s="3"/>
      <c r="E21" s="16"/>
      <c r="F21" s="16"/>
      <c r="G21" s="16"/>
      <c r="H21" s="16"/>
      <c r="I21" s="16"/>
      <c r="J21" s="7"/>
    </row>
    <row r="22" spans="2:10" ht="15.75" x14ac:dyDescent="0.25">
      <c r="B22" s="3" t="s">
        <v>104</v>
      </c>
      <c r="C22" s="3"/>
      <c r="D22" s="3"/>
      <c r="E22" s="16"/>
      <c r="F22" s="16"/>
      <c r="G22" s="16"/>
      <c r="H22" s="16"/>
      <c r="I22" s="16"/>
      <c r="J22" s="7"/>
    </row>
    <row r="23" spans="2:10" ht="15.75" x14ac:dyDescent="0.25">
      <c r="B23" s="3" t="s">
        <v>104</v>
      </c>
      <c r="C23" s="3"/>
      <c r="D23" s="3"/>
      <c r="E23" s="16"/>
      <c r="F23" s="16"/>
      <c r="G23" s="16"/>
      <c r="H23" s="16"/>
      <c r="I23" s="16"/>
      <c r="J23" s="7"/>
    </row>
    <row r="24" spans="2:10" ht="15.75" x14ac:dyDescent="0.25">
      <c r="B24" s="3"/>
      <c r="C24" s="3"/>
      <c r="D24" s="3"/>
      <c r="E24" s="3"/>
      <c r="F24" s="3"/>
      <c r="G24" s="3"/>
      <c r="H24" s="3"/>
      <c r="I24" s="3"/>
    </row>
    <row r="25" spans="2:10" ht="15.75" x14ac:dyDescent="0.25">
      <c r="B25" s="3" t="s">
        <v>95</v>
      </c>
      <c r="C25" s="16" t="s">
        <v>25</v>
      </c>
      <c r="D25" s="3"/>
      <c r="E25" s="3"/>
      <c r="F25" s="3"/>
      <c r="G25" s="3"/>
      <c r="H25" s="3"/>
      <c r="I25" s="3"/>
    </row>
    <row r="26" spans="2:10" ht="15.75" x14ac:dyDescent="0.25">
      <c r="B26" s="3"/>
      <c r="C26" s="3"/>
      <c r="D26" s="3"/>
      <c r="E26" s="3"/>
      <c r="F26" s="3"/>
      <c r="G26" s="3"/>
      <c r="H26" s="3"/>
      <c r="I26" s="3"/>
    </row>
    <row r="27" spans="2:10" ht="15.75" x14ac:dyDescent="0.25">
      <c r="B27" s="15"/>
      <c r="C27" s="8"/>
      <c r="D27" s="8"/>
      <c r="E27" s="9"/>
      <c r="F27" s="15"/>
      <c r="G27" s="8"/>
      <c r="H27" s="8"/>
      <c r="I27" s="9"/>
    </row>
    <row r="28" spans="2:10" ht="15.75" x14ac:dyDescent="0.25">
      <c r="B28" s="11"/>
      <c r="C28" s="3"/>
      <c r="D28" s="3"/>
      <c r="E28" s="10"/>
      <c r="F28" s="11"/>
      <c r="G28" s="3"/>
      <c r="H28" s="3"/>
      <c r="I28" s="10"/>
    </row>
    <row r="29" spans="2:10" ht="15.75" x14ac:dyDescent="0.25">
      <c r="B29" s="11"/>
      <c r="C29" s="3"/>
      <c r="D29" s="3"/>
      <c r="E29" s="10"/>
      <c r="F29" s="11"/>
      <c r="G29" s="3"/>
      <c r="H29" s="3"/>
      <c r="I29" s="10"/>
    </row>
    <row r="30" spans="2:10" ht="15.75" x14ac:dyDescent="0.25">
      <c r="B30" s="11"/>
      <c r="C30" s="3"/>
      <c r="D30" s="3"/>
      <c r="E30" s="10"/>
      <c r="F30" s="11"/>
      <c r="G30" s="3"/>
      <c r="H30" s="3"/>
      <c r="I30" s="10"/>
    </row>
    <row r="31" spans="2:10" ht="15.75" x14ac:dyDescent="0.25">
      <c r="B31" s="11"/>
      <c r="C31" s="3"/>
      <c r="D31" s="3"/>
      <c r="E31" s="10"/>
      <c r="F31" s="11"/>
      <c r="G31" s="3"/>
      <c r="H31" s="3"/>
      <c r="I31" s="10"/>
    </row>
    <row r="32" spans="2:10" ht="15.75" x14ac:dyDescent="0.25">
      <c r="B32" s="11"/>
      <c r="C32" s="3"/>
      <c r="D32" s="3"/>
      <c r="E32" s="10"/>
      <c r="F32" s="11"/>
      <c r="G32" s="3"/>
      <c r="H32" s="3"/>
      <c r="I32" s="10"/>
    </row>
    <row r="33" spans="2:9" ht="15.75" x14ac:dyDescent="0.25">
      <c r="B33" s="11"/>
      <c r="C33" s="3"/>
      <c r="D33" s="3"/>
      <c r="E33" s="10"/>
      <c r="F33" s="11"/>
      <c r="G33" s="3"/>
      <c r="H33" s="3"/>
      <c r="I33" s="10"/>
    </row>
    <row r="34" spans="2:9" ht="15.75" x14ac:dyDescent="0.25">
      <c r="B34" s="11"/>
      <c r="C34" s="3"/>
      <c r="D34" s="3"/>
      <c r="E34" s="10"/>
      <c r="F34" s="11"/>
      <c r="G34" s="3"/>
      <c r="H34" s="3"/>
      <c r="I34" s="10"/>
    </row>
    <row r="35" spans="2:9" ht="15.75" x14ac:dyDescent="0.25">
      <c r="B35" s="12"/>
      <c r="C35" s="13"/>
      <c r="D35" s="13"/>
      <c r="E35" s="14"/>
      <c r="F35" s="12"/>
      <c r="G35" s="13"/>
      <c r="H35" s="13"/>
      <c r="I35" s="14"/>
    </row>
    <row r="36" spans="2:9" ht="15.75" x14ac:dyDescent="0.25">
      <c r="B36" s="3"/>
      <c r="C36" s="3"/>
      <c r="D36" s="3"/>
      <c r="E36" s="3"/>
      <c r="F36" s="3"/>
      <c r="G36" s="3"/>
      <c r="H36" s="3"/>
      <c r="I36" s="3"/>
    </row>
    <row r="37" spans="2:9" ht="15.75" x14ac:dyDescent="0.25">
      <c r="B37" s="3" t="s">
        <v>72</v>
      </c>
      <c r="C37" s="3"/>
      <c r="D37" s="3"/>
      <c r="E37" s="3"/>
      <c r="F37" s="3" t="s">
        <v>107</v>
      </c>
      <c r="G37" s="3"/>
      <c r="H37" s="3"/>
      <c r="I37" s="3"/>
    </row>
    <row r="38" spans="2:9" ht="15.75" x14ac:dyDescent="0.25">
      <c r="B38" s="3"/>
      <c r="C38" s="3"/>
      <c r="D38" s="3"/>
      <c r="E38" s="3"/>
      <c r="F38" s="3" t="s">
        <v>22</v>
      </c>
      <c r="G38" s="3"/>
      <c r="H38" s="3"/>
      <c r="I38" s="3"/>
    </row>
    <row r="39" spans="2:9" ht="15.75" x14ac:dyDescent="0.25">
      <c r="B39" s="3"/>
      <c r="C39" s="3"/>
      <c r="D39" s="3"/>
      <c r="E39" s="3"/>
      <c r="F39" s="3"/>
      <c r="G39" s="3"/>
      <c r="H39" s="3"/>
      <c r="I39" s="3"/>
    </row>
    <row r="40" spans="2:9" ht="15.75" x14ac:dyDescent="0.25">
      <c r="B40" s="3"/>
      <c r="C40" s="3"/>
      <c r="D40" s="3"/>
      <c r="E40" s="3"/>
      <c r="F40" s="3"/>
      <c r="G40" s="3"/>
      <c r="H40" s="3"/>
      <c r="I40" s="3"/>
    </row>
    <row r="41" spans="2:9" ht="15.75" x14ac:dyDescent="0.25">
      <c r="B41" s="3"/>
      <c r="C41" s="3"/>
      <c r="D41" s="3"/>
      <c r="E41" s="3"/>
      <c r="F41" s="3"/>
      <c r="G41" s="3"/>
      <c r="H41" s="3"/>
      <c r="I41" s="3"/>
    </row>
    <row r="42" spans="2:9" ht="15.75" x14ac:dyDescent="0.25">
      <c r="B42" s="3" t="str">
        <f>Sheet2!B52</f>
        <v>Malihatun Ni'mah, S.Si.</v>
      </c>
      <c r="C42" s="3"/>
      <c r="D42" s="3"/>
      <c r="E42" s="3"/>
      <c r="F42" s="18" t="str">
        <f>Sheet1!F39</f>
        <v>Priyantono, S.Pd., M.Pd.</v>
      </c>
      <c r="G42" s="3"/>
      <c r="H42" s="3"/>
      <c r="I42" s="3"/>
    </row>
    <row r="43" spans="2:9" ht="15.75" x14ac:dyDescent="0.25">
      <c r="B43" s="3" t="str">
        <f>Sheet1!E19</f>
        <v>198008142009032003</v>
      </c>
      <c r="C43" s="3"/>
      <c r="D43" s="3"/>
      <c r="E43" s="3"/>
      <c r="F43" s="3" t="str">
        <f>Sheet1!F40</f>
        <v>NIP. 196902251994031005</v>
      </c>
      <c r="G43" s="3"/>
      <c r="H43" s="3"/>
      <c r="I43" s="3"/>
    </row>
  </sheetData>
  <mergeCells count="4">
    <mergeCell ref="B2:I2"/>
    <mergeCell ref="D7:I8"/>
    <mergeCell ref="D5:I5"/>
    <mergeCell ref="D6:I6"/>
  </mergeCells>
  <printOptions horizontalCentered="1"/>
  <pageMargins left="3.937007874015748E-2" right="3.937007874015748E-2" top="3.937007874015748E-2" bottom="3.937007874015748E-2" header="3.937007874015748E-2" footer="3.937007874015748E-2"/>
  <pageSetup paperSize="20000" scale="12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Sheet1!_Hlk173475416</vt:lpstr>
      <vt:lpstr>Sheet1!Print_Area</vt:lpstr>
      <vt:lpstr>Sheet2!Print_Area</vt:lpstr>
      <vt:lpstr>Sheet3!Print_Area</vt:lpstr>
      <vt:lpstr>Sheet4!Print_Area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smpn2karangtengah</dc:creator>
  <cp:lastModifiedBy>s s</cp:lastModifiedBy>
  <cp:lastPrinted>2025-06-03T01:14:02Z</cp:lastPrinted>
  <dcterms:created xsi:type="dcterms:W3CDTF">2015-06-05T18:17:20Z</dcterms:created>
  <dcterms:modified xsi:type="dcterms:W3CDTF">2025-06-07T02:40:32Z</dcterms:modified>
</cp:coreProperties>
</file>