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2120" windowHeight="7935" tabRatio="776" activeTab="9"/>
  </bookViews>
  <sheets>
    <sheet name="Lamp 1" sheetId="2" r:id="rId1"/>
    <sheet name="Jam-Mg" sheetId="4" r:id="rId2"/>
    <sheet name="Wali Kls" sheetId="5" r:id="rId3"/>
    <sheet name="Lamp 2 &amp; 4" sheetId="6" r:id="rId4"/>
    <sheet name="Lamp 5" sheetId="7" r:id="rId5"/>
    <sheet name="Lamp 1 b" sheetId="8" r:id="rId6"/>
    <sheet name="6,5,6" sheetId="10" r:id="rId7"/>
    <sheet name="Lamp 3" sheetId="9" r:id="rId8"/>
    <sheet name="pet khusus" sheetId="11" r:id="rId9"/>
    <sheet name="Konsideran" sheetId="12" r:id="rId10"/>
  </sheets>
  <definedNames>
    <definedName name="_xlnm.Print_Area" localSheetId="9">Konsideran!$A$1:$J$48</definedName>
    <definedName name="_xlnm.Print_Area" localSheetId="8">'pet khusus'!$A$1:$J$29</definedName>
  </definedNames>
  <calcPr calcId="124519"/>
</workbook>
</file>

<file path=xl/calcChain.xml><?xml version="1.0" encoding="utf-8"?>
<calcChain xmlns="http://schemas.openxmlformats.org/spreadsheetml/2006/main">
  <c r="Y113" i="8"/>
  <c r="P127"/>
  <c r="Y26"/>
  <c r="Q137" i="10"/>
  <c r="X137"/>
  <c r="W137"/>
  <c r="V137"/>
  <c r="U137"/>
  <c r="T137"/>
  <c r="S137"/>
  <c r="R137"/>
  <c r="P137"/>
  <c r="O137"/>
  <c r="N137"/>
  <c r="M137"/>
  <c r="L137"/>
  <c r="K137"/>
  <c r="J137"/>
  <c r="I137"/>
  <c r="H137"/>
  <c r="Y135"/>
  <c r="Y133"/>
  <c r="Y131"/>
  <c r="Y129"/>
  <c r="Y127"/>
  <c r="Y123"/>
  <c r="Y121"/>
  <c r="Y119"/>
  <c r="Y117"/>
  <c r="Y106"/>
  <c r="Y103"/>
  <c r="Y100"/>
  <c r="Y97"/>
  <c r="Y94"/>
  <c r="Y91"/>
  <c r="Y88"/>
  <c r="Y85"/>
  <c r="Y82"/>
  <c r="Y79"/>
  <c r="Y70"/>
  <c r="Y67"/>
  <c r="Y64"/>
  <c r="Y61"/>
  <c r="Y58"/>
  <c r="Y55"/>
  <c r="Y52"/>
  <c r="Y49"/>
  <c r="Y46"/>
  <c r="Y43"/>
  <c r="Y34"/>
  <c r="Y31"/>
  <c r="Y28"/>
  <c r="Y25"/>
  <c r="Y22"/>
  <c r="Y19"/>
  <c r="Y16"/>
  <c r="Y13"/>
  <c r="Y10"/>
  <c r="Y56" i="8"/>
  <c r="L127"/>
  <c r="Y59"/>
  <c r="K127"/>
  <c r="D19" i="9"/>
  <c r="E19"/>
  <c r="G95" i="2"/>
  <c r="F95"/>
  <c r="I91"/>
  <c r="Y123" i="8"/>
  <c r="Y86"/>
  <c r="Y95"/>
  <c r="Y106"/>
  <c r="Y98"/>
  <c r="G20" i="4"/>
  <c r="E20"/>
  <c r="C20"/>
  <c r="X127" i="8"/>
  <c r="W127"/>
  <c r="V127"/>
  <c r="U127"/>
  <c r="T127"/>
  <c r="S127"/>
  <c r="R127"/>
  <c r="Q127"/>
  <c r="O127"/>
  <c r="N127"/>
  <c r="M127"/>
  <c r="J127"/>
  <c r="I127"/>
  <c r="H127"/>
  <c r="Y125"/>
  <c r="Y119"/>
  <c r="Y108"/>
  <c r="Y104"/>
  <c r="Y101"/>
  <c r="Y92"/>
  <c r="Y89"/>
  <c r="Y83"/>
  <c r="Y80"/>
  <c r="Y77"/>
  <c r="Y71"/>
  <c r="Y68"/>
  <c r="Y65"/>
  <c r="Y62"/>
  <c r="Y53"/>
  <c r="Y50"/>
  <c r="Y47"/>
  <c r="Y44"/>
  <c r="Y41"/>
  <c r="Y35"/>
  <c r="Y32"/>
  <c r="Y29"/>
  <c r="Y23"/>
  <c r="Y20"/>
  <c r="Y16"/>
  <c r="Y13"/>
  <c r="Y10"/>
  <c r="Y137" i="10" l="1"/>
  <c r="Y127" i="8"/>
  <c r="I43" i="2" l="1"/>
  <c r="I95" l="1"/>
  <c r="I93"/>
  <c r="I89"/>
  <c r="I87"/>
  <c r="I85"/>
  <c r="I81"/>
  <c r="I77"/>
  <c r="I75"/>
  <c r="I72"/>
  <c r="I69"/>
  <c r="I66"/>
  <c r="I64"/>
  <c r="I62"/>
  <c r="I60"/>
  <c r="I58"/>
  <c r="I56"/>
  <c r="I54"/>
  <c r="I52"/>
  <c r="I50"/>
  <c r="I48"/>
  <c r="I45"/>
  <c r="I41"/>
  <c r="I39"/>
  <c r="I37"/>
  <c r="I35"/>
  <c r="I33"/>
  <c r="I31"/>
  <c r="I29"/>
  <c r="I27"/>
  <c r="I25"/>
  <c r="I23"/>
  <c r="I21"/>
  <c r="I19"/>
  <c r="I15"/>
  <c r="I13"/>
  <c r="I11"/>
</calcChain>
</file>

<file path=xl/sharedStrings.xml><?xml version="1.0" encoding="utf-8"?>
<sst xmlns="http://schemas.openxmlformats.org/spreadsheetml/2006/main" count="1808" uniqueCount="633">
  <si>
    <t>LAMPIRAN I :</t>
  </si>
  <si>
    <t>KEPUTUSAN KEPALA SMP NEGERI 2 KARANG TENGAH</t>
  </si>
  <si>
    <t>A.</t>
  </si>
  <si>
    <t>PEMBAGIAN TUGAS GURU DALAM PROSES BELAJAR MENGAJAR ATAU BIMBINGAN DAN KONSELING</t>
  </si>
  <si>
    <t>No</t>
  </si>
  <si>
    <t>Kode</t>
  </si>
  <si>
    <t>NAMA / NIP</t>
  </si>
  <si>
    <t>PANGKAT /</t>
  </si>
  <si>
    <t>JENIS</t>
  </si>
  <si>
    <t>MAPEL</t>
  </si>
  <si>
    <t>JUMLAH JAM MENGAJAR</t>
  </si>
  <si>
    <t>Ket</t>
  </si>
  <si>
    <t>GOL</t>
  </si>
  <si>
    <t>GURU</t>
  </si>
  <si>
    <t>YANG</t>
  </si>
  <si>
    <t>DALAM</t>
  </si>
  <si>
    <t>VII</t>
  </si>
  <si>
    <t>VIII</t>
  </si>
  <si>
    <t>IX</t>
  </si>
  <si>
    <t>JML</t>
  </si>
  <si>
    <t>DIAMPU</t>
  </si>
  <si>
    <t>SERTIFIKAT</t>
  </si>
  <si>
    <t>A</t>
  </si>
  <si>
    <t>B</t>
  </si>
  <si>
    <t>C</t>
  </si>
  <si>
    <t>D</t>
  </si>
  <si>
    <t>E</t>
  </si>
  <si>
    <t>F</t>
  </si>
  <si>
    <t>AKHMAD FAUZI, S.Pd</t>
  </si>
  <si>
    <t>Pembina,IV/a</t>
  </si>
  <si>
    <t>GMP</t>
  </si>
  <si>
    <t>Bahasa Inggris</t>
  </si>
  <si>
    <t>Kep Sek</t>
  </si>
  <si>
    <t>1959 0308 1979 03 1 005</t>
  </si>
  <si>
    <t>DWI SETYOWARTO</t>
  </si>
  <si>
    <t>Pembina, IV/a</t>
  </si>
  <si>
    <t>IPA</t>
  </si>
  <si>
    <t>Wali Kls</t>
  </si>
  <si>
    <t>1958 1014 1981 03 1 008</t>
  </si>
  <si>
    <t>IX A</t>
  </si>
  <si>
    <t>YUNI RATMININGSIH,S.Pd</t>
  </si>
  <si>
    <t>IPS</t>
  </si>
  <si>
    <t>1961 0610 1985 01 2 003</t>
  </si>
  <si>
    <t>VIII C</t>
  </si>
  <si>
    <t>BUDI SANTOSO,S.Pd</t>
  </si>
  <si>
    <t>Ket. Jasa</t>
  </si>
  <si>
    <t>Sarpras</t>
  </si>
  <si>
    <t>1961 0316 1985 01 1 002</t>
  </si>
  <si>
    <t>SUMINI,S.Pd</t>
  </si>
  <si>
    <t>Bahasa Jawa</t>
  </si>
  <si>
    <t>1963 1110 1958 01 2</t>
  </si>
  <si>
    <t>IX B</t>
  </si>
  <si>
    <t>SAPTANINGSIH PD,S.Pd</t>
  </si>
  <si>
    <t>Bhs. Indonesia</t>
  </si>
  <si>
    <t>1963 0212 1985 03 2 017</t>
  </si>
  <si>
    <t>BK</t>
  </si>
  <si>
    <t>IX E</t>
  </si>
  <si>
    <t>G</t>
  </si>
  <si>
    <t>SUTIMAN, S.Pd</t>
  </si>
  <si>
    <t>Humas</t>
  </si>
  <si>
    <t>1959 0401 1986 03 1 020</t>
  </si>
  <si>
    <t>H</t>
  </si>
  <si>
    <t>Matematika</t>
  </si>
  <si>
    <t>Kurikulum</t>
  </si>
  <si>
    <t>1959 0326 1986 03 2 006</t>
  </si>
  <si>
    <t>I</t>
  </si>
  <si>
    <t>SULKHAN,BA</t>
  </si>
  <si>
    <t>PAI</t>
  </si>
  <si>
    <t>1958 0825 1986 03 1 012</t>
  </si>
  <si>
    <t>KET</t>
  </si>
  <si>
    <t>J</t>
  </si>
  <si>
    <t>SRI HASTUTI, S.Pd</t>
  </si>
  <si>
    <t>1963 0504 1986 03 2 010</t>
  </si>
  <si>
    <t>K</t>
  </si>
  <si>
    <t>SUGENG, S.Pd</t>
  </si>
  <si>
    <t>Seni Budaya</t>
  </si>
  <si>
    <t>1960 0717 1987 03 1 008</t>
  </si>
  <si>
    <t>VII B</t>
  </si>
  <si>
    <t>L</t>
  </si>
  <si>
    <t>ASMUNI, S.Pd. Ek</t>
  </si>
  <si>
    <t>TIK</t>
  </si>
  <si>
    <t>Wakasek</t>
  </si>
  <si>
    <t>1966 0706 1989 02 1 002</t>
  </si>
  <si>
    <t>M</t>
  </si>
  <si>
    <t>SUDRAJAT, S.Pd</t>
  </si>
  <si>
    <t>1959 0909 1986 02 1 005</t>
  </si>
  <si>
    <t>N</t>
  </si>
  <si>
    <t>SUYATA</t>
  </si>
  <si>
    <t>Penjas</t>
  </si>
  <si>
    <t>VIII A</t>
  </si>
  <si>
    <t>O</t>
  </si>
  <si>
    <t>WIWIK RAHAYU, S.Pd</t>
  </si>
  <si>
    <t>1967 0409 1989 02 2 003</t>
  </si>
  <si>
    <t>IX C</t>
  </si>
  <si>
    <t>P</t>
  </si>
  <si>
    <t>PAULUS MULYONO, S.pd</t>
  </si>
  <si>
    <t>Bendahara</t>
  </si>
  <si>
    <t>1966 0927 1989 03 1 007</t>
  </si>
  <si>
    <t>BOS</t>
  </si>
  <si>
    <t>Q</t>
  </si>
  <si>
    <t>SRI WAHYUNI, S.Pd</t>
  </si>
  <si>
    <t>Kesiswaan</t>
  </si>
  <si>
    <t>1968 0618 1994 12 2 003</t>
  </si>
  <si>
    <t>R</t>
  </si>
  <si>
    <t>SRI SUGIYANTI</t>
  </si>
  <si>
    <t>1964 0101 1986 01 2 009</t>
  </si>
  <si>
    <t>Tata Busana</t>
  </si>
  <si>
    <t>VII D</t>
  </si>
  <si>
    <t>S</t>
  </si>
  <si>
    <t>SUMARSONO</t>
  </si>
  <si>
    <t>Bhs Indonesia</t>
  </si>
  <si>
    <t>Perpus</t>
  </si>
  <si>
    <t>1953 0806 1986 01 1 001</t>
  </si>
  <si>
    <t>T</t>
  </si>
  <si>
    <t>DRS. AGUS WIDODO</t>
  </si>
  <si>
    <t>1965 0305 1995 02 1 002</t>
  </si>
  <si>
    <t>U</t>
  </si>
  <si>
    <t>AJI SUPRABOWO, S.Pd</t>
  </si>
  <si>
    <t>1972 05141998 02 1 002</t>
  </si>
  <si>
    <t>V</t>
  </si>
  <si>
    <t>SUPRIYONO, S.Pd</t>
  </si>
  <si>
    <t>Penata Muda,</t>
  </si>
  <si>
    <t>PKN</t>
  </si>
  <si>
    <t>1968 0821 2006 04 2 012</t>
  </si>
  <si>
    <t>III/a</t>
  </si>
  <si>
    <t>IX D</t>
  </si>
  <si>
    <t>W</t>
  </si>
  <si>
    <t>W. RAHCMAWATI, S.Pd</t>
  </si>
  <si>
    <t>Bahasa Inggirs</t>
  </si>
  <si>
    <t>1981 0218 2006 04 2 012</t>
  </si>
  <si>
    <t>VIII B</t>
  </si>
  <si>
    <t>X</t>
  </si>
  <si>
    <t>ASMUNI, S.Pd</t>
  </si>
  <si>
    <t>1971 0217 2007 01 1 006</t>
  </si>
  <si>
    <t>Y</t>
  </si>
  <si>
    <t>ST. ASTUTIK, S.Pd</t>
  </si>
  <si>
    <t>1977 1029 2008 01 2 003</t>
  </si>
  <si>
    <t>VIII D</t>
  </si>
  <si>
    <t>Z</t>
  </si>
  <si>
    <t>MUH MAWARDI, S.Pd</t>
  </si>
  <si>
    <t>1969 0803 2008 01 1 008</t>
  </si>
  <si>
    <t>AA</t>
  </si>
  <si>
    <t>MALIKATUN NIKMAH, S.Si</t>
  </si>
  <si>
    <t>1980 0814 2009 03 1 007</t>
  </si>
  <si>
    <t>VII A</t>
  </si>
  <si>
    <t>AB</t>
  </si>
  <si>
    <t>INTAN PUSPITA N., S.Pd</t>
  </si>
  <si>
    <t>1983 0917 2009 03 2 007</t>
  </si>
  <si>
    <t>VII C</t>
  </si>
  <si>
    <t>AC</t>
  </si>
  <si>
    <t>DWI NUGROHO,S.Pd</t>
  </si>
  <si>
    <t>Bhs. Jawa</t>
  </si>
  <si>
    <t>1975 1020 2009 03 1 003</t>
  </si>
  <si>
    <t>AD</t>
  </si>
  <si>
    <t>SUMARNI, S.Pd</t>
  </si>
  <si>
    <t>GTT</t>
  </si>
  <si>
    <t>AE</t>
  </si>
  <si>
    <t>TITIK ARDIATI, S.Ag</t>
  </si>
  <si>
    <t>AF</t>
  </si>
  <si>
    <t>DWI NUR CAHYO, S.Pd</t>
  </si>
  <si>
    <t>AG</t>
  </si>
  <si>
    <t>RINA HAYATI, S.Pd</t>
  </si>
  <si>
    <t>Bhs. Inggris</t>
  </si>
  <si>
    <t>AH</t>
  </si>
  <si>
    <t>SRI RAHAYU, S.Pd</t>
  </si>
  <si>
    <t>BP / BK</t>
  </si>
  <si>
    <t>AI</t>
  </si>
  <si>
    <t>SUPRIYANTO, S.Pd</t>
  </si>
  <si>
    <t>AJ</t>
  </si>
  <si>
    <t>SRI WARI ADI N, S.Pd</t>
  </si>
  <si>
    <t>AK</t>
  </si>
  <si>
    <t>DIDIK PRABOWO, S.Pd</t>
  </si>
  <si>
    <t>AL</t>
  </si>
  <si>
    <t>HESTRI, S.Pd</t>
  </si>
  <si>
    <t>AM</t>
  </si>
  <si>
    <t>LULUK AULIA,S.Pd</t>
  </si>
  <si>
    <t>B. Inggris</t>
  </si>
  <si>
    <t>Kepala Sekolah,</t>
  </si>
  <si>
    <t>Akhmad Fauzi, S.Pd. M.Pd</t>
  </si>
  <si>
    <t>Pembina</t>
  </si>
  <si>
    <t>NIP . 1957 0308 1979 03 1 005</t>
  </si>
  <si>
    <t xml:space="preserve">Lampiran I </t>
  </si>
  <si>
    <t xml:space="preserve">: Keputusan Kepala SMPN 2 Karangtengah </t>
  </si>
  <si>
    <t xml:space="preserve">  Nomor</t>
  </si>
  <si>
    <t xml:space="preserve">  Tentang</t>
  </si>
  <si>
    <t>: Pembagian Tugas Mengajar</t>
  </si>
  <si>
    <t xml:space="preserve">  Tanggal</t>
  </si>
  <si>
    <t>Nama / NIP</t>
  </si>
  <si>
    <t>Gol</t>
  </si>
  <si>
    <t>Pendd/ Jurs</t>
  </si>
  <si>
    <t>Mengajar Mapel</t>
  </si>
  <si>
    <t>Jam Tatap Muka di kelas</t>
  </si>
  <si>
    <t>Jam/ Mgg</t>
  </si>
  <si>
    <t>Tugas Tambahan</t>
  </si>
  <si>
    <t>IV/a</t>
  </si>
  <si>
    <t>B.Inggris</t>
  </si>
  <si>
    <t>Kepala Sekolah</t>
  </si>
  <si>
    <t>19570308 197903 1 005</t>
  </si>
  <si>
    <t>Dwi Setyowarto</t>
  </si>
  <si>
    <t>D3/Fis</t>
  </si>
  <si>
    <t>19581014 198103 1 008</t>
  </si>
  <si>
    <t>Yuni Ratminingsih,S.Pd</t>
  </si>
  <si>
    <t>19610610 198501 2 003</t>
  </si>
  <si>
    <t>Budi Santoso,S.Pd</t>
  </si>
  <si>
    <t>19610316 198501 1 002</t>
  </si>
  <si>
    <t>B.Jawa</t>
  </si>
  <si>
    <t>Wl. Kls 9c</t>
  </si>
  <si>
    <t>B. Indo</t>
  </si>
  <si>
    <t>19630212 198503 2 017</t>
  </si>
  <si>
    <t>Sutiman, S.Pd</t>
  </si>
  <si>
    <t>19590401 198603 1 020</t>
  </si>
  <si>
    <t>Siti Maemunah,S.Pd</t>
  </si>
  <si>
    <t>Matemat</t>
  </si>
  <si>
    <t>19590326 198603 2 006</t>
  </si>
  <si>
    <t>Sulkhan, Ba</t>
  </si>
  <si>
    <t>Sarmud/PAI</t>
  </si>
  <si>
    <t>Wl. Kls 7b</t>
  </si>
  <si>
    <t>19580825 198603 1 012</t>
  </si>
  <si>
    <t>Sri Hastuti, SPd</t>
  </si>
  <si>
    <t>B.Ingg</t>
  </si>
  <si>
    <t>Wl. Kls 9f</t>
  </si>
  <si>
    <t>19630504 198603 2 010</t>
  </si>
  <si>
    <t>Sugeng, S.Pd</t>
  </si>
  <si>
    <t>S.Budya</t>
  </si>
  <si>
    <t>Wl. Kls 7c</t>
  </si>
  <si>
    <t>19600717 198703 1 008</t>
  </si>
  <si>
    <t>BP</t>
  </si>
  <si>
    <t>Asmuni,S.Pd. Ek</t>
  </si>
  <si>
    <t>19661010 198803 1 007</t>
  </si>
  <si>
    <t>Sudrajat, SPd</t>
  </si>
  <si>
    <t>SI/Sej</t>
  </si>
  <si>
    <t>19590909 198902 1 005</t>
  </si>
  <si>
    <t>Suyata</t>
  </si>
  <si>
    <t>D3/</t>
  </si>
  <si>
    <t>19660706 198902 1 002</t>
  </si>
  <si>
    <t>Wiwik Rahayu, S.Pd</t>
  </si>
  <si>
    <t>Wl. Kls 9b</t>
  </si>
  <si>
    <t>19670409 198902 2 003</t>
  </si>
  <si>
    <t>Paulus Muljono, S.Pd</t>
  </si>
  <si>
    <t>Bend. BOS</t>
  </si>
  <si>
    <t>19660927 198903 1 007</t>
  </si>
  <si>
    <t>Sri Wahyuni, S.Pd</t>
  </si>
  <si>
    <t>SI/Penjas</t>
  </si>
  <si>
    <t>Urs. Kesisw</t>
  </si>
  <si>
    <t>19680618 199412 2 003</t>
  </si>
  <si>
    <t>Sri Sugiyanti</t>
  </si>
  <si>
    <t>D2/Kerajinan</t>
  </si>
  <si>
    <t>S.budaya</t>
  </si>
  <si>
    <t>19640101 198601 2 009</t>
  </si>
  <si>
    <t>Sumarsono</t>
  </si>
  <si>
    <t>D3/B Ind</t>
  </si>
  <si>
    <t>B.indo</t>
  </si>
  <si>
    <t>19530806 198601 1 001</t>
  </si>
  <si>
    <t>Drs. Agus Widodo</t>
  </si>
  <si>
    <t>SI/</t>
  </si>
  <si>
    <t>19650305 199512 1 002</t>
  </si>
  <si>
    <t>Elektro</t>
  </si>
  <si>
    <t>Aji Suprabowo, S.Pd</t>
  </si>
  <si>
    <t>SI/Bio</t>
  </si>
  <si>
    <t>19720514 199802 1 002</t>
  </si>
  <si>
    <t>Supriyono, SPd</t>
  </si>
  <si>
    <t>SI/PKn</t>
  </si>
  <si>
    <t>PKn</t>
  </si>
  <si>
    <t>19680821 200604 1 008</t>
  </si>
  <si>
    <t>W. Rachmawati, S.Pd</t>
  </si>
  <si>
    <t>SI/B.Ing</t>
  </si>
  <si>
    <t>Wl. Kls 8b</t>
  </si>
  <si>
    <t>19810218 200604 2 012</t>
  </si>
  <si>
    <t>Asmuni, S.Pd</t>
  </si>
  <si>
    <t>19710217 200701 1 006</t>
  </si>
  <si>
    <t>B.Indo</t>
  </si>
  <si>
    <t>ST. Astutik, S.Pd</t>
  </si>
  <si>
    <t>SI/B.Ind</t>
  </si>
  <si>
    <t>Wl. Kls 8d</t>
  </si>
  <si>
    <t>19770129 200801 2 003</t>
  </si>
  <si>
    <t>Muh Mawardi, S.Pd</t>
  </si>
  <si>
    <t>SI/ Fis</t>
  </si>
  <si>
    <t>19690803 200801 1 008</t>
  </si>
  <si>
    <t>Dwi Nugroho  A, S,S.Pd</t>
  </si>
  <si>
    <t>SI/Sastr</t>
  </si>
  <si>
    <t>B. Jawa</t>
  </si>
  <si>
    <t>Wl. Kls 8e</t>
  </si>
  <si>
    <t>19751020 200903 1 003</t>
  </si>
  <si>
    <t>Jawa</t>
  </si>
  <si>
    <t>Malikatun Ni`mah, S, Si</t>
  </si>
  <si>
    <t>19800814 200903 2 003</t>
  </si>
  <si>
    <t>Intan Puspita N, S.Pd</t>
  </si>
  <si>
    <t>SI/Fis</t>
  </si>
  <si>
    <t>19830917 200903 2 007</t>
  </si>
  <si>
    <t>S. Bud</t>
  </si>
  <si>
    <t>Sumarni, S.Pd</t>
  </si>
  <si>
    <t>-</t>
  </si>
  <si>
    <t>Titik Ardiati, S.Ag</t>
  </si>
  <si>
    <t>SI/PAI</t>
  </si>
  <si>
    <t>Dwi Nurcahyo, S.Pd</t>
  </si>
  <si>
    <t>Rina Hayati, S.Pd</t>
  </si>
  <si>
    <t>SI/ B.Ing</t>
  </si>
  <si>
    <t>Sri Rahayu, S.Pd</t>
  </si>
  <si>
    <t>SI/BP</t>
  </si>
  <si>
    <t>Supriyanto, S.Pd</t>
  </si>
  <si>
    <t>SI/Mat</t>
  </si>
  <si>
    <t>Sri Wari Adi N, S.Pd</t>
  </si>
  <si>
    <t>Didik Prabowo, S.Pd</t>
  </si>
  <si>
    <t>Hestri Y, SPd</t>
  </si>
  <si>
    <t>Luluk Aulia ,S.Pd</t>
  </si>
  <si>
    <t>S1/B.Ind</t>
  </si>
  <si>
    <t>J U M L A H</t>
  </si>
  <si>
    <t>Akhmad Fauzi, S.Pd, M.Pd</t>
  </si>
  <si>
    <t>NIP. 19570308 197903 1 005</t>
  </si>
  <si>
    <t>Sumini,S.Pd, Ek</t>
  </si>
  <si>
    <t>19631110198501 2 005</t>
  </si>
  <si>
    <t>Saptaningsih PD.</t>
  </si>
  <si>
    <t>S1/Ek Kop</t>
  </si>
  <si>
    <t>S1/Sej</t>
  </si>
  <si>
    <t>S1/Pkn</t>
  </si>
  <si>
    <t>S1/ Sendratasik</t>
  </si>
  <si>
    <t>S1/PKn</t>
  </si>
  <si>
    <t>Pendidikan Agama Islam</t>
  </si>
  <si>
    <t>PPKN</t>
  </si>
  <si>
    <t>Bahasa Indonesia</t>
  </si>
  <si>
    <t>Penjas / Orkes</t>
  </si>
  <si>
    <t>Muatan Lokal</t>
  </si>
  <si>
    <t>Jumlah Jam / Mg</t>
  </si>
  <si>
    <t xml:space="preserve">SMP N 2 KARANGTENGAH </t>
  </si>
  <si>
    <t>Mata Pelajaran</t>
  </si>
  <si>
    <t>Jumlah</t>
  </si>
  <si>
    <t>Jam</t>
  </si>
  <si>
    <t>JUMLAH JAM /MINGGU</t>
  </si>
  <si>
    <t xml:space="preserve">WALI KELAS </t>
  </si>
  <si>
    <t>SMP N 2 KARANGTENGAH</t>
  </si>
  <si>
    <t>Kelas</t>
  </si>
  <si>
    <t>Nama Wali Kls</t>
  </si>
  <si>
    <t>IX F</t>
  </si>
  <si>
    <t>SRI HASTUTI,S.Pd</t>
  </si>
  <si>
    <t>AJI SUPRABOWO,S.Pd</t>
  </si>
  <si>
    <t xml:space="preserve">Lampiran II </t>
  </si>
  <si>
    <t xml:space="preserve">B. PEMBAGIAN TUGAS TAMBAHAN SEBAGAI WAKIL KEPALA SEKOLAH, </t>
  </si>
  <si>
    <t>Pangkat Gol</t>
  </si>
  <si>
    <t>Jenis Tugas/Kegiatan</t>
  </si>
  <si>
    <t>Pembina / IVa</t>
  </si>
  <si>
    <t>Wakil Kep. Sek</t>
  </si>
  <si>
    <t>Siti Maemunah, BSc / 19590326 198603 2 006</t>
  </si>
  <si>
    <t>Pembina IV/a</t>
  </si>
  <si>
    <t>Urusan Kurikulum</t>
  </si>
  <si>
    <t>Muh Mawardi, SPd / 19690803 200801 1 008</t>
  </si>
  <si>
    <t>Penata Muda / IIIa</t>
  </si>
  <si>
    <t>Drs. Agus Widodo / 19650305 199512 1 002</t>
  </si>
  <si>
    <t>Sri Wahyuni, SPd / 19680618 199412 2 003</t>
  </si>
  <si>
    <t>Urusan Humas</t>
  </si>
  <si>
    <t>Urusan Sarpras</t>
  </si>
  <si>
    <t>Wali Kelas VII a</t>
  </si>
  <si>
    <t>Wali Kelas VII b</t>
  </si>
  <si>
    <t>Wali Kelas VII c</t>
  </si>
  <si>
    <t>Wali Kelas VII d</t>
  </si>
  <si>
    <t>Pembina  / IVa</t>
  </si>
  <si>
    <t>Wali Kelas VIII a</t>
  </si>
  <si>
    <t>Wali Kelas VIII b</t>
  </si>
  <si>
    <t>Wali Kelas VIII c</t>
  </si>
  <si>
    <t>Wali Kelas VIII d</t>
  </si>
  <si>
    <t>Wali Kelas  IX a</t>
  </si>
  <si>
    <t>Wali Kelas IX b</t>
  </si>
  <si>
    <t>Wali Kelas IX c</t>
  </si>
  <si>
    <t>Wali Kelas IX d</t>
  </si>
  <si>
    <t>Wali Kelas IX e</t>
  </si>
  <si>
    <t>Wali Kelas IX f</t>
  </si>
  <si>
    <t>Akhmad Fauzi, S.Pd,M.Pd</t>
  </si>
  <si>
    <t>Intan Puspita N, SPd</t>
  </si>
  <si>
    <t>Didik Prabowo,S.Pd</t>
  </si>
  <si>
    <t xml:space="preserve">Lampiran IV </t>
  </si>
  <si>
    <t>D. PEMBAGIAN TUGAS TAMBAHAN / TUGAS LAIN SEMESTER GASAL</t>
  </si>
  <si>
    <t>Pangkat / Gol</t>
  </si>
  <si>
    <t>Tugas Tambahan / Tugas Lain</t>
  </si>
  <si>
    <t>Urusan Kurikulum,</t>
  </si>
  <si>
    <t>Muh Mawardi,S.Pd</t>
  </si>
  <si>
    <t>Urusan Kesiswaan, Koperasi Sekolah</t>
  </si>
  <si>
    <t>UKS</t>
  </si>
  <si>
    <t>Kepala Perpustakaan</t>
  </si>
  <si>
    <t>Petugas Perpustakaan</t>
  </si>
  <si>
    <t>Paulus Muljono</t>
  </si>
  <si>
    <t>Bendahara BOS</t>
  </si>
  <si>
    <t>Sri Wahyuni</t>
  </si>
  <si>
    <t>19621104 198602 2 002</t>
  </si>
  <si>
    <t>Kasubag TU, Bendh. SPI, Urs. Kepegawaian</t>
  </si>
  <si>
    <t>Ansor, SPd</t>
  </si>
  <si>
    <t>19620323 199203 1 006</t>
  </si>
  <si>
    <t>Bendh. Gaji / Rutin / UYHD</t>
  </si>
  <si>
    <t>Kolektor SPI kelas VII</t>
  </si>
  <si>
    <t>Sukaelan</t>
  </si>
  <si>
    <t>19670807 198703 1 005</t>
  </si>
  <si>
    <t>Pengatur Muda / IIa</t>
  </si>
  <si>
    <t>Bendahara Barang,</t>
  </si>
  <si>
    <t>Urs. Kebersihan Lingkungan</t>
  </si>
  <si>
    <t>Margono</t>
  </si>
  <si>
    <t>19550701 199103 1 003</t>
  </si>
  <si>
    <t>Urs. Kebersihan  Lingkungan</t>
  </si>
  <si>
    <t>Minuman Harian</t>
  </si>
  <si>
    <t>Suroso</t>
  </si>
  <si>
    <t>Data, Arsip dan Persuratan</t>
  </si>
  <si>
    <t>PTT</t>
  </si>
  <si>
    <t>Puji Astuti, SPdI</t>
  </si>
  <si>
    <t>Jalil, SPdI</t>
  </si>
  <si>
    <t>Layanan administrasi kesiswaan,</t>
  </si>
  <si>
    <t>Pembantu bendh. Barang / Inventaris</t>
  </si>
  <si>
    <t>Kepala Laboratorium IPA</t>
  </si>
  <si>
    <t>Trubus</t>
  </si>
  <si>
    <t>Satpam / Security</t>
  </si>
  <si>
    <t xml:space="preserve">Lampiran V </t>
  </si>
  <si>
    <t>E. PEMBAGIAN TUGAS PENGEMBANGAN DIRI /EKSTRAKURIKULER</t>
  </si>
  <si>
    <t>Yuni Ratminingsih</t>
  </si>
  <si>
    <t xml:space="preserve"> Pembina  / IVa</t>
  </si>
  <si>
    <t>Pramuka</t>
  </si>
  <si>
    <t>Aji Suprabowo, SPd</t>
  </si>
  <si>
    <t>Dwi Nugroho  A, S,s</t>
  </si>
  <si>
    <t>Bola volly</t>
  </si>
  <si>
    <t>KIR</t>
  </si>
  <si>
    <t>Sugeng</t>
  </si>
  <si>
    <t>Seni Musik</t>
  </si>
  <si>
    <t>Dwi Nurcahyo, SPd</t>
  </si>
  <si>
    <t>Basket</t>
  </si>
  <si>
    <t>Rebana</t>
  </si>
  <si>
    <t>Siti Maemunah, BSc</t>
  </si>
  <si>
    <t>Koordinator</t>
  </si>
  <si>
    <t>Penata Muda Tk I/IIIb</t>
  </si>
  <si>
    <t>Dwi Nugroho</t>
  </si>
  <si>
    <t>SITI MAIMUNAH, S.Pd</t>
  </si>
  <si>
    <t>SUGENG.S.Pd</t>
  </si>
  <si>
    <t>Wl. Kls 7d</t>
  </si>
  <si>
    <t xml:space="preserve">Wali Kls </t>
  </si>
  <si>
    <t>Kelas VII</t>
  </si>
  <si>
    <t>Kelas VIII</t>
  </si>
  <si>
    <t>Kelas IX</t>
  </si>
  <si>
    <t>Wl. Kls</t>
  </si>
  <si>
    <t>SULKHAN BA</t>
  </si>
  <si>
    <t>Ka.Perpus</t>
  </si>
  <si>
    <t>Sumarni,S.Pd</t>
  </si>
  <si>
    <t>3</t>
  </si>
  <si>
    <t>6</t>
  </si>
  <si>
    <t>9</t>
  </si>
  <si>
    <t>Penata Muda Tk I / IIIb</t>
  </si>
  <si>
    <t>Kepala Laboratorium Komputer</t>
  </si>
  <si>
    <t>Kepala Laboratorium Bahasa</t>
  </si>
  <si>
    <t>Petugas Laboratorium IPA</t>
  </si>
  <si>
    <t>1965 0305 1995 12 1 002</t>
  </si>
  <si>
    <t>W. Rahmawati, S.Pd</t>
  </si>
  <si>
    <t>Jenis Tugas / Kegiatan</t>
  </si>
  <si>
    <t>Karate</t>
  </si>
  <si>
    <t>Wl. Kls 7a</t>
  </si>
  <si>
    <t>Ka. Perpus</t>
  </si>
  <si>
    <t>Piket</t>
  </si>
  <si>
    <t>Lampiran III</t>
  </si>
  <si>
    <t>Jumlah Siswa</t>
  </si>
  <si>
    <t>Jumlah Jam</t>
  </si>
  <si>
    <t>Asmuni,S.Pd</t>
  </si>
  <si>
    <t>Sri Rahayu,S.Pd</t>
  </si>
  <si>
    <t xml:space="preserve">  Nomor </t>
  </si>
  <si>
    <t xml:space="preserve">  Tanggal </t>
  </si>
  <si>
    <t>S1/ Bhs Indo</t>
  </si>
  <si>
    <t>III/b</t>
  </si>
  <si>
    <t xml:space="preserve">Penata Muda </t>
  </si>
  <si>
    <t>Tk I ,  III/b</t>
  </si>
  <si>
    <t>Supriyono,S.Pd /</t>
  </si>
  <si>
    <t>1968 0821 2006 04 1 008</t>
  </si>
  <si>
    <t>Sutiman, Ba / 19590401198603 1 020</t>
  </si>
  <si>
    <t>Asmuni ,S.Pd,Ek /  196610101988 03 1 007</t>
  </si>
  <si>
    <t>: 800/         /2012</t>
  </si>
  <si>
    <t>TAHUN PELAJARAN 2012 / 2013</t>
  </si>
  <si>
    <t>BTA</t>
  </si>
  <si>
    <t>TAHUN PELAJARAN 2012/ 2013</t>
  </si>
  <si>
    <t>VII E</t>
  </si>
  <si>
    <t>VII F</t>
  </si>
  <si>
    <t>TAHUN PELAJARAN 2012/2013</t>
  </si>
  <si>
    <t>: 800 /      / 2012</t>
  </si>
  <si>
    <t>UNSUR PEMBANTU PIMPINAN DAN WALI KELAS  TAHUN PELAJARAN  2012/2013</t>
  </si>
  <si>
    <t>C. PEMBAGIAN TUGAS BK / BP SEMESTER GASAL TAHUN PELAJARAN 2012/2013</t>
  </si>
  <si>
    <t>: 800 /       / 2012</t>
  </si>
  <si>
    <t xml:space="preserve"> SEMESTER GASAL TAHUN PELAJARAN  2012 / 2013</t>
  </si>
  <si>
    <t>A. PEMBAGIAN TUGAS JAM MENGAJAR SEMESTER GASAL TP 2012/2013</t>
  </si>
  <si>
    <t>:  16 Juli 2012</t>
  </si>
  <si>
    <t>Karangtengah,   16  Juli 2012</t>
  </si>
  <si>
    <t>: 16 Juli 2012</t>
  </si>
  <si>
    <t>:   16  Juli 2012</t>
  </si>
  <si>
    <t>Karangtengah,  16   Juli 2012</t>
  </si>
  <si>
    <t>ASMUNI,S.Pd</t>
  </si>
  <si>
    <t>INTAN PUSPITA N, S.Pd</t>
  </si>
  <si>
    <t>WUWUK RAHMAWATI,S.Pd</t>
  </si>
  <si>
    <t>Wali Kelas VII e</t>
  </si>
  <si>
    <t>Wali Kelas VII f</t>
  </si>
  <si>
    <t>SAPTANINGSIH PD. S.Pd</t>
  </si>
  <si>
    <t>TAHUN PELAJARAN  2012/2013</t>
  </si>
  <si>
    <t>Sudrajat,S.Pd</t>
  </si>
  <si>
    <t>Karangtengah, 16 Juli 2012</t>
  </si>
  <si>
    <t>Penata / IIIc</t>
  </si>
  <si>
    <t>AKHMAD FAUZI, S.Pd, M.Pd</t>
  </si>
  <si>
    <t>BTQ</t>
  </si>
  <si>
    <t>SAPTANINGSIH PD,S.Pd.Bind</t>
  </si>
  <si>
    <t>12</t>
  </si>
  <si>
    <t>4</t>
  </si>
  <si>
    <t>8</t>
  </si>
  <si>
    <t>adik bu st</t>
  </si>
  <si>
    <t>Yani Wimbo Khasanah</t>
  </si>
  <si>
    <t>VIII D , IX ( e, f)</t>
  </si>
  <si>
    <t xml:space="preserve">ST ASTUTIK </t>
  </si>
  <si>
    <t>VIII (a, b, c)</t>
  </si>
  <si>
    <t>VII (a, b ,c)</t>
  </si>
  <si>
    <t>VII ( d, e, f )</t>
  </si>
  <si>
    <t>IX (a,  b,  c, d)</t>
  </si>
  <si>
    <t>SUGENG,S.Pd</t>
  </si>
  <si>
    <t>SULKHAN,BA.</t>
  </si>
  <si>
    <t>SUDRAJAT,S.Pd</t>
  </si>
  <si>
    <t>MALIKATUN NIKMAH,S.Si</t>
  </si>
  <si>
    <t xml:space="preserve"> </t>
  </si>
  <si>
    <t>15</t>
  </si>
  <si>
    <t>VIII E</t>
  </si>
  <si>
    <t>Kolektor kelas VIII</t>
  </si>
  <si>
    <t>Layanan administrasi kurikulum, Kolektor kelas IX</t>
  </si>
  <si>
    <t>Pengelola Lab IPA</t>
  </si>
  <si>
    <t>Wali Kls 7C</t>
  </si>
  <si>
    <t>Lab IPA</t>
  </si>
  <si>
    <t xml:space="preserve">Pengelola </t>
  </si>
  <si>
    <t>Wali Kls 8A</t>
  </si>
  <si>
    <t>Lab Bahasa</t>
  </si>
  <si>
    <t>Lab Komputer</t>
  </si>
  <si>
    <t>Pembina PKS</t>
  </si>
  <si>
    <t>Pengelola Kop</t>
  </si>
  <si>
    <t>Wali Kls 9C</t>
  </si>
  <si>
    <t>Pengelola UKS</t>
  </si>
  <si>
    <t>Wali Kls 7E</t>
  </si>
  <si>
    <t>Wali Kls 7B</t>
  </si>
  <si>
    <t>Wali Kls 9A</t>
  </si>
  <si>
    <t>Wali Kls 7F</t>
  </si>
  <si>
    <t>Wali Kls 8C</t>
  </si>
  <si>
    <t>Wali Kls 8D</t>
  </si>
  <si>
    <t>DAFTAR PETUGAS KHUSUS</t>
  </si>
  <si>
    <t>Pengelola Lab Bahasa</t>
  </si>
  <si>
    <t>Pengelola Lab Komputer</t>
  </si>
  <si>
    <t>Pengelola Koperasi Siswa</t>
  </si>
  <si>
    <t>a. Sri Wahyuni, S.Pd</t>
  </si>
  <si>
    <t>b. Yuni Ratminingsih, S.Pd Ek</t>
  </si>
  <si>
    <t>c. Asmuni, S.Pd</t>
  </si>
  <si>
    <t>d. Trubus</t>
  </si>
  <si>
    <t>Guru Piket</t>
  </si>
  <si>
    <t>a. Sumarni, S.Pd</t>
  </si>
  <si>
    <t>b. Dwi Nugroho, S.Ss</t>
  </si>
  <si>
    <t>c. Malihatun Ni`mah, S.Si</t>
  </si>
  <si>
    <t>d. Intan Puspita, S.Pd</t>
  </si>
  <si>
    <t>f. Suyata</t>
  </si>
  <si>
    <t>g. Sudrajad, S.Pd</t>
  </si>
  <si>
    <t>Kolektor</t>
  </si>
  <si>
    <t>b. Ansor, S.Pd</t>
  </si>
  <si>
    <t>c. Puji Astuti, S.Pd</t>
  </si>
  <si>
    <t>a. Sri Wahyuni</t>
  </si>
  <si>
    <t>Wakil Kepala Sekolah</t>
  </si>
  <si>
    <t>: Yuni Ratminingsih, S.Pd Ek</t>
  </si>
  <si>
    <t>: Aji Suprabowo, S.Pd</t>
  </si>
  <si>
    <t>: Wuwuk Rachmawati, S.Pd</t>
  </si>
  <si>
    <t>: Drs. Agus Widodo</t>
  </si>
  <si>
    <t>: Sri Wahyuni, S.Pd</t>
  </si>
  <si>
    <t>: Dwi Nugroho, S.Ss</t>
  </si>
  <si>
    <t>S2 / B. Ingg</t>
  </si>
  <si>
    <t>Pemb.UKS</t>
  </si>
  <si>
    <t>Wl. Kls 9d</t>
  </si>
  <si>
    <t>Wl. Kls 8c</t>
  </si>
  <si>
    <t>Pengel.Kop</t>
  </si>
  <si>
    <t>Wl.Kls 9e</t>
  </si>
  <si>
    <t>Pengel Lab Kom</t>
  </si>
  <si>
    <t>Pengel.Lab IPA</t>
  </si>
  <si>
    <t>Wl. Kls 8a</t>
  </si>
  <si>
    <t>Pengel.Lab.Bhs</t>
  </si>
  <si>
    <t>Wl. Kls 7e</t>
  </si>
  <si>
    <t>Pengel.UKS</t>
  </si>
  <si>
    <t>Wl.Kls 9a</t>
  </si>
  <si>
    <t>Wl.Kls 7f</t>
  </si>
  <si>
    <t>SAPTANINGSIH S.Pd</t>
  </si>
  <si>
    <t>WUWUK RACHMAWATI,S.Pd</t>
  </si>
  <si>
    <t>INTAN PUSPITA N,S.Pd</t>
  </si>
  <si>
    <t>Penata Muda / IIIb</t>
  </si>
  <si>
    <t>Urusan Kesiswaan,                            Pengelola Lab Komputer</t>
  </si>
  <si>
    <t>Urusan Kesiswaan,                    Pembina UKS, Pengelola Koperasi Siswa</t>
  </si>
  <si>
    <t>DWI NUGROHO,S.Ss</t>
  </si>
  <si>
    <t>Penata Muda /IIIa</t>
  </si>
  <si>
    <t>Wali Kelas VIII e</t>
  </si>
  <si>
    <t>MALIKATUN NI`MAH,S.Si</t>
  </si>
  <si>
    <t>e. Didik Prabowo,S.Pd</t>
  </si>
  <si>
    <t>PEMERINTAH KABUPATEN DEMAK</t>
  </si>
  <si>
    <r>
      <t>DINAS PENDIDIKAN</t>
    </r>
    <r>
      <rPr>
        <b/>
        <sz val="16"/>
        <color theme="1"/>
        <rFont val="Times New Roman"/>
        <family val="1"/>
      </rPr>
      <t xml:space="preserve"> PEMUDA DAN OLAHRAGA</t>
    </r>
  </si>
  <si>
    <t>SMP NEGERI 2 KARANGTENGAH</t>
  </si>
  <si>
    <r>
      <t xml:space="preserve">Jalan Raya Donorejo Kec.Karangtengah </t>
    </r>
    <r>
      <rPr>
        <sz val="11"/>
        <color theme="1"/>
        <rFont val="Webdings"/>
        <family val="1"/>
        <charset val="2"/>
      </rPr>
      <t>É</t>
    </r>
    <r>
      <rPr>
        <sz val="11"/>
        <color theme="1"/>
        <rFont val="Times New Roman"/>
        <family val="1"/>
      </rPr>
      <t xml:space="preserve">0291-3320961 Demak </t>
    </r>
    <r>
      <rPr>
        <sz val="11"/>
        <color theme="1"/>
        <rFont val="Webdings"/>
        <family val="1"/>
        <charset val="2"/>
      </rPr>
      <t></t>
    </r>
    <r>
      <rPr>
        <sz val="11"/>
        <color theme="1"/>
        <rFont val="Times New Roman"/>
        <family val="1"/>
      </rPr>
      <t xml:space="preserve"> 59561</t>
    </r>
  </si>
  <si>
    <t>Surat Keputusan Kepala SMP Negeri 2 Karangtengah Demak</t>
  </si>
  <si>
    <t>Nomor : 800 /210/2012</t>
  </si>
  <si>
    <t>Tentang</t>
  </si>
  <si>
    <t>PEMBAGIAN TUGAS GURU DALAM PROSES BELAJAR MENGAJAR ATAU</t>
  </si>
  <si>
    <t>BIMBINGAN DAN PENYULUHAN</t>
  </si>
  <si>
    <t>Dengan Rahmat Allah Yang Maha Kuasa</t>
  </si>
  <si>
    <t>Kepala SMP Negeri 2 Karangtengah, Dinas Pendidikan Kabupaten Demak</t>
  </si>
  <si>
    <t>Provinsi Jawa Tengah</t>
  </si>
  <si>
    <t>Menimbang</t>
  </si>
  <si>
    <t xml:space="preserve">: a. </t>
  </si>
  <si>
    <t xml:space="preserve"> b. </t>
  </si>
  <si>
    <t>Mengingat</t>
  </si>
  <si>
    <t>: a.</t>
  </si>
  <si>
    <t xml:space="preserve">  b.</t>
  </si>
  <si>
    <t xml:space="preserve">  c.</t>
  </si>
  <si>
    <t>UU Nomor 20 Tahun 2003</t>
  </si>
  <si>
    <t>PP Nomor 19 Tahun 2005</t>
  </si>
  <si>
    <t>UU Nomor 14 Tahun 2005</t>
  </si>
  <si>
    <t>PP Nomor 74 Tahun 2008</t>
  </si>
  <si>
    <t>Pedoman Penghitungan Beban Kerja Guru Tahun 2008</t>
  </si>
  <si>
    <t>MENUTUSKAN</t>
  </si>
  <si>
    <t>Menetapkan</t>
  </si>
  <si>
    <t>:</t>
  </si>
  <si>
    <t>Pertama</t>
  </si>
  <si>
    <t xml:space="preserve">  d.</t>
  </si>
  <si>
    <t xml:space="preserve">  e.</t>
  </si>
  <si>
    <t xml:space="preserve">Pembagian tugas guru dalam proses belajar mengajar atau bimbingan konseling </t>
  </si>
  <si>
    <t>tahun pelajaran 2012/2013 meliputi kewajiban tatap muka/mengajar dan tugas</t>
  </si>
  <si>
    <t>tambahan lainnya seperti tertuang dalam daftar lampiran keputusan ini.</t>
  </si>
  <si>
    <t>Kedua</t>
  </si>
  <si>
    <t>Ketiga</t>
  </si>
  <si>
    <t>Segala biaya yang timbul akibat pelaksanaan keputusan ini dibebankan kepada</t>
  </si>
  <si>
    <t>anggaran yang sesuai</t>
  </si>
  <si>
    <t>Kelima</t>
  </si>
  <si>
    <t xml:space="preserve">: </t>
  </si>
  <si>
    <t>Apabila terdapat kekeliruhan dalam keputusan ini akan dibetulkan sebagaimana</t>
  </si>
  <si>
    <t xml:space="preserve">mestinya </t>
  </si>
  <si>
    <t>Keempat</t>
  </si>
  <si>
    <t>Keputusan ini mulai berlaku pada saat ditetapkan</t>
  </si>
  <si>
    <t>Karangtengah,  16  Juli 2012</t>
  </si>
  <si>
    <t>pada satuan pendidikan</t>
  </si>
  <si>
    <t>Bahwa untuk menjamin kelancaran proses belajar perlu ditetapkan pembagian tugas</t>
  </si>
  <si>
    <t>mengajar dan tugas tambahan bagi guru</t>
  </si>
  <si>
    <t>Masing-masing guru melaporkan pelaksanaan dan hasil tugasnya secara tertulis dan</t>
  </si>
  <si>
    <t>berkala kepada Kepala Sekolah</t>
  </si>
  <si>
    <t xml:space="preserve">Bahwa proses belajar mengajar merupakan inti proses penyelenggaraan pendidikan 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</si>
</sst>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8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Times New Roman"/>
      <family val="1"/>
    </font>
    <font>
      <sz val="10"/>
      <color theme="1"/>
      <name val="Calibri"/>
      <family val="2"/>
      <charset val="1"/>
      <scheme val="minor"/>
    </font>
    <font>
      <sz val="10"/>
      <color theme="1"/>
      <name val="Arial Narrow"/>
      <family val="2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name val="Times New Roman"/>
      <family val="1"/>
    </font>
    <font>
      <sz val="12"/>
      <color rgb="FFFF0000"/>
      <name val="Arial"/>
      <family val="2"/>
    </font>
    <font>
      <sz val="12"/>
      <color theme="1"/>
      <name val="Arial Narrow"/>
      <family val="2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Webdings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7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3" fillId="0" borderId="4" xfId="0" applyFont="1" applyBorder="1"/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2" fillId="0" borderId="15" xfId="0" applyFont="1" applyBorder="1"/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3" fillId="0" borderId="3" xfId="0" applyFont="1" applyBorder="1"/>
    <xf numFmtId="0" fontId="2" fillId="0" borderId="9" xfId="0" applyFont="1" applyBorder="1"/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3" fillId="0" borderId="8" xfId="0" applyFont="1" applyBorder="1"/>
    <xf numFmtId="0" fontId="2" fillId="2" borderId="13" xfId="0" quotePrefix="1" applyFont="1" applyFill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17" xfId="0" applyFont="1" applyBorder="1"/>
    <xf numFmtId="0" fontId="2" fillId="0" borderId="1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5" xfId="0" quotePrefix="1" applyFont="1" applyFill="1" applyBorder="1" applyAlignment="1">
      <alignment horizontal="center"/>
    </xf>
    <xf numFmtId="0" fontId="2" fillId="0" borderId="8" xfId="0" quotePrefix="1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2" borderId="9" xfId="0" quotePrefix="1" applyFont="1" applyFill="1" applyBorder="1" applyAlignment="1">
      <alignment horizontal="center"/>
    </xf>
    <xf numFmtId="0" fontId="2" fillId="2" borderId="16" xfId="0" quotePrefix="1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1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3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10" xfId="0" applyFont="1" applyBorder="1"/>
    <xf numFmtId="0" fontId="2" fillId="0" borderId="25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2" borderId="27" xfId="0" quotePrefix="1" applyFont="1" applyFill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5" fillId="0" borderId="0" xfId="0" applyFont="1" applyAlignment="1">
      <alignment horizontal="left" indent="15"/>
    </xf>
    <xf numFmtId="0" fontId="6" fillId="0" borderId="0" xfId="0" applyFont="1" applyAlignment="1">
      <alignment horizontal="center"/>
    </xf>
    <xf numFmtId="0" fontId="5" fillId="0" borderId="33" xfId="0" applyFont="1" applyBorder="1" applyAlignment="1">
      <alignment vertical="top" wrapText="1"/>
    </xf>
    <xf numFmtId="0" fontId="5" fillId="0" borderId="34" xfId="0" applyFont="1" applyBorder="1" applyAlignment="1">
      <alignment vertical="top" wrapText="1"/>
    </xf>
    <xf numFmtId="0" fontId="5" fillId="0" borderId="35" xfId="0" applyFont="1" applyBorder="1" applyAlignment="1">
      <alignment vertical="top" wrapText="1"/>
    </xf>
    <xf numFmtId="0" fontId="6" fillId="0" borderId="34" xfId="0" applyFont="1" applyBorder="1" applyAlignment="1">
      <alignment vertical="top" wrapText="1"/>
    </xf>
    <xf numFmtId="0" fontId="6" fillId="0" borderId="0" xfId="0" applyFont="1"/>
    <xf numFmtId="0" fontId="5" fillId="0" borderId="2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top" wrapText="1"/>
    </xf>
    <xf numFmtId="0" fontId="0" fillId="0" borderId="0" xfId="0" applyBorder="1"/>
    <xf numFmtId="0" fontId="5" fillId="0" borderId="0" xfId="0" applyFont="1" applyAlignment="1">
      <alignment horizontal="left"/>
    </xf>
    <xf numFmtId="0" fontId="5" fillId="0" borderId="0" xfId="0" applyFont="1" applyAlignment="1"/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11" fillId="0" borderId="0" xfId="0" applyFont="1" applyAlignment="1">
      <alignment horizontal="center"/>
    </xf>
    <xf numFmtId="0" fontId="2" fillId="3" borderId="13" xfId="0" applyFont="1" applyFill="1" applyBorder="1"/>
    <xf numFmtId="0" fontId="2" fillId="3" borderId="15" xfId="0" applyFont="1" applyFill="1" applyBorder="1"/>
    <xf numFmtId="0" fontId="2" fillId="3" borderId="9" xfId="0" applyFont="1" applyFill="1" applyBorder="1"/>
    <xf numFmtId="0" fontId="2" fillId="2" borderId="11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8" fontId="0" fillId="0" borderId="2" xfId="0" applyNumberForma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8" fillId="2" borderId="5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9" xfId="0" applyFont="1" applyBorder="1" applyAlignment="1">
      <alignment horizontal="left" vertical="center"/>
    </xf>
    <xf numFmtId="0" fontId="8" fillId="0" borderId="19" xfId="0" applyFont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8" fillId="0" borderId="22" xfId="0" applyFont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2" fillId="2" borderId="13" xfId="0" applyFont="1" applyFill="1" applyBorder="1"/>
    <xf numFmtId="0" fontId="2" fillId="3" borderId="9" xfId="0" quotePrefix="1" applyFont="1" applyFill="1" applyBorder="1" applyAlignment="1">
      <alignment horizontal="center"/>
    </xf>
    <xf numFmtId="0" fontId="2" fillId="2" borderId="15" xfId="0" applyFont="1" applyFill="1" applyBorder="1"/>
    <xf numFmtId="0" fontId="2" fillId="2" borderId="16" xfId="0" applyFont="1" applyFill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0" fillId="0" borderId="1" xfId="0" applyBorder="1"/>
    <xf numFmtId="0" fontId="5" fillId="0" borderId="36" xfId="0" applyFont="1" applyBorder="1" applyAlignment="1">
      <alignment vertical="top" wrapText="1"/>
    </xf>
    <xf numFmtId="0" fontId="5" fillId="0" borderId="33" xfId="0" applyFont="1" applyBorder="1" applyAlignment="1">
      <alignment vertical="top" wrapText="1"/>
    </xf>
    <xf numFmtId="0" fontId="5" fillId="0" borderId="36" xfId="0" applyFont="1" applyBorder="1" applyAlignment="1">
      <alignment vertical="top" wrapText="1"/>
    </xf>
    <xf numFmtId="0" fontId="5" fillId="0" borderId="33" xfId="0" applyFont="1" applyBorder="1" applyAlignment="1">
      <alignment vertical="top" wrapText="1"/>
    </xf>
    <xf numFmtId="0" fontId="5" fillId="0" borderId="8" xfId="0" applyFont="1" applyBorder="1" applyAlignment="1">
      <alignment vertical="center" wrapText="1"/>
    </xf>
    <xf numFmtId="0" fontId="5" fillId="0" borderId="36" xfId="0" applyFont="1" applyBorder="1" applyAlignment="1">
      <alignment vertical="top" wrapText="1"/>
    </xf>
    <xf numFmtId="0" fontId="2" fillId="3" borderId="15" xfId="0" quotePrefix="1" applyFont="1" applyFill="1" applyBorder="1" applyAlignment="1">
      <alignment horizontal="center"/>
    </xf>
    <xf numFmtId="0" fontId="2" fillId="3" borderId="16" xfId="0" quotePrefix="1" applyFont="1" applyFill="1" applyBorder="1" applyAlignment="1">
      <alignment horizontal="center"/>
    </xf>
    <xf numFmtId="0" fontId="2" fillId="3" borderId="4" xfId="0" quotePrefix="1" applyFont="1" applyFill="1" applyBorder="1" applyAlignment="1">
      <alignment horizontal="center"/>
    </xf>
    <xf numFmtId="0" fontId="2" fillId="3" borderId="8" xfId="0" quotePrefix="1" applyFont="1" applyFill="1" applyBorder="1" applyAlignment="1">
      <alignment horizontal="center"/>
    </xf>
    <xf numFmtId="0" fontId="2" fillId="3" borderId="3" xfId="0" quotePrefix="1" applyFont="1" applyFill="1" applyBorder="1" applyAlignment="1">
      <alignment horizontal="center"/>
    </xf>
    <xf numFmtId="0" fontId="2" fillId="2" borderId="4" xfId="0" applyFont="1" applyFill="1" applyBorder="1"/>
    <xf numFmtId="0" fontId="2" fillId="2" borderId="4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5" fillId="0" borderId="37" xfId="0" applyFont="1" applyBorder="1" applyAlignment="1">
      <alignment vertical="top" wrapText="1"/>
    </xf>
    <xf numFmtId="0" fontId="5" fillId="2" borderId="35" xfId="0" applyFont="1" applyFill="1" applyBorder="1" applyAlignment="1">
      <alignment vertical="top" wrapText="1"/>
    </xf>
    <xf numFmtId="0" fontId="5" fillId="2" borderId="34" xfId="0" applyFont="1" applyFill="1" applyBorder="1" applyAlignment="1">
      <alignment vertical="top" wrapText="1"/>
    </xf>
    <xf numFmtId="0" fontId="6" fillId="0" borderId="35" xfId="0" applyFont="1" applyBorder="1" applyAlignment="1">
      <alignment vertical="top" wrapText="1"/>
    </xf>
    <xf numFmtId="0" fontId="2" fillId="0" borderId="38" xfId="0" applyFont="1" applyBorder="1"/>
    <xf numFmtId="0" fontId="2" fillId="0" borderId="33" xfId="0" applyFont="1" applyBorder="1"/>
    <xf numFmtId="0" fontId="0" fillId="0" borderId="2" xfId="0" applyBorder="1"/>
    <xf numFmtId="0" fontId="12" fillId="0" borderId="0" xfId="0" applyFont="1"/>
    <xf numFmtId="0" fontId="13" fillId="0" borderId="0" xfId="0" applyFont="1" applyAlignment="1">
      <alignment horizontal="center"/>
    </xf>
    <xf numFmtId="0" fontId="12" fillId="0" borderId="35" xfId="0" applyFont="1" applyBorder="1" applyAlignment="1">
      <alignment vertical="top" wrapText="1"/>
    </xf>
    <xf numFmtId="0" fontId="12" fillId="0" borderId="34" xfId="0" applyFont="1" applyBorder="1" applyAlignment="1">
      <alignment vertical="top" wrapText="1"/>
    </xf>
    <xf numFmtId="0" fontId="12" fillId="0" borderId="37" xfId="0" applyFont="1" applyBorder="1" applyAlignment="1">
      <alignment vertical="top" wrapText="1"/>
    </xf>
    <xf numFmtId="0" fontId="12" fillId="0" borderId="37" xfId="0" applyFont="1" applyBorder="1" applyAlignment="1">
      <alignment horizontal="center" vertical="top" wrapText="1"/>
    </xf>
    <xf numFmtId="0" fontId="12" fillId="0" borderId="33" xfId="0" applyFont="1" applyBorder="1" applyAlignment="1">
      <alignment vertical="top" wrapText="1"/>
    </xf>
    <xf numFmtId="0" fontId="12" fillId="0" borderId="0" xfId="0" applyFont="1" applyAlignment="1">
      <alignment horizontal="left"/>
    </xf>
    <xf numFmtId="0" fontId="13" fillId="0" borderId="31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31" xfId="0" applyFont="1" applyBorder="1" applyAlignment="1">
      <alignment vertical="top" wrapText="1"/>
    </xf>
    <xf numFmtId="0" fontId="5" fillId="0" borderId="32" xfId="0" applyFont="1" applyBorder="1" applyAlignment="1">
      <alignment vertical="top" wrapText="1"/>
    </xf>
    <xf numFmtId="0" fontId="14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4" fillId="0" borderId="0" xfId="0" applyFont="1" applyAlignment="1"/>
    <xf numFmtId="0" fontId="15" fillId="0" borderId="0" xfId="0" applyFont="1"/>
    <xf numFmtId="0" fontId="14" fillId="0" borderId="0" xfId="0" applyFont="1"/>
    <xf numFmtId="0" fontId="16" fillId="0" borderId="0" xfId="0" applyFont="1" applyAlignment="1"/>
    <xf numFmtId="0" fontId="16" fillId="0" borderId="0" xfId="0" applyFont="1"/>
    <xf numFmtId="0" fontId="5" fillId="0" borderId="4" xfId="0" quotePrefix="1" applyFont="1" applyBorder="1" applyAlignment="1">
      <alignment horizontal="center" vertical="center" wrapText="1"/>
    </xf>
    <xf numFmtId="0" fontId="5" fillId="0" borderId="8" xfId="0" quotePrefix="1" applyFont="1" applyBorder="1" applyAlignment="1">
      <alignment horizontal="center" vertical="center" wrapText="1"/>
    </xf>
    <xf numFmtId="0" fontId="5" fillId="0" borderId="3" xfId="0" quotePrefix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13" fillId="0" borderId="0" xfId="0" applyFont="1" applyAlignment="1">
      <alignment horizontal="center"/>
    </xf>
    <xf numFmtId="0" fontId="6" fillId="0" borderId="31" xfId="0" applyFont="1" applyBorder="1" applyAlignment="1">
      <alignment horizontal="center" vertical="top" wrapText="1"/>
    </xf>
    <xf numFmtId="0" fontId="6" fillId="0" borderId="32" xfId="0" applyFont="1" applyBorder="1" applyAlignment="1">
      <alignment horizontal="center" vertical="top" wrapText="1"/>
    </xf>
    <xf numFmtId="0" fontId="12" fillId="0" borderId="35" xfId="0" applyFont="1" applyBorder="1" applyAlignment="1">
      <alignment vertical="center" wrapText="1"/>
    </xf>
    <xf numFmtId="0" fontId="12" fillId="0" borderId="34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31" xfId="0" applyFont="1" applyBorder="1" applyAlignment="1">
      <alignment vertical="center"/>
    </xf>
    <xf numFmtId="0" fontId="12" fillId="0" borderId="31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5" fillId="0" borderId="3" xfId="0" applyFont="1" applyBorder="1" applyAlignment="1">
      <alignment vertical="top" wrapText="1"/>
    </xf>
    <xf numFmtId="0" fontId="5" fillId="2" borderId="3" xfId="0" applyFont="1" applyFill="1" applyBorder="1" applyAlignment="1">
      <alignment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8" xfId="0" applyFont="1" applyBorder="1" applyAlignment="1">
      <alignment vertical="top" wrapText="1"/>
    </xf>
    <xf numFmtId="0" fontId="5" fillId="2" borderId="8" xfId="0" applyFont="1" applyFill="1" applyBorder="1" applyAlignment="1">
      <alignment vertical="top" wrapText="1"/>
    </xf>
    <xf numFmtId="0" fontId="5" fillId="0" borderId="8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3" borderId="28" xfId="0" quotePrefix="1" applyFont="1" applyFill="1" applyBorder="1" applyAlignment="1">
      <alignment horizontal="center"/>
    </xf>
    <xf numFmtId="0" fontId="0" fillId="0" borderId="35" xfId="0" applyBorder="1"/>
    <xf numFmtId="0" fontId="2" fillId="2" borderId="30" xfId="0" applyFont="1" applyFill="1" applyBorder="1" applyAlignment="1">
      <alignment horizontal="center"/>
    </xf>
    <xf numFmtId="0" fontId="2" fillId="0" borderId="2" xfId="0" applyFont="1" applyFill="1" applyBorder="1" applyAlignment="1">
      <alignment vertic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8" fillId="0" borderId="2" xfId="0" applyFont="1" applyBorder="1" applyAlignment="1">
      <alignment vertical="center"/>
    </xf>
    <xf numFmtId="0" fontId="19" fillId="0" borderId="2" xfId="0" applyFont="1" applyBorder="1" applyAlignment="1">
      <alignment vertical="top" wrapText="1"/>
    </xf>
    <xf numFmtId="0" fontId="19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3" borderId="13" xfId="0" quotePrefix="1" applyFont="1" applyFill="1" applyBorder="1" applyAlignment="1">
      <alignment horizontal="center"/>
    </xf>
    <xf numFmtId="0" fontId="2" fillId="2" borderId="8" xfId="0" quotePrefix="1" applyFont="1" applyFill="1" applyBorder="1" applyAlignment="1">
      <alignment horizontal="center"/>
    </xf>
    <xf numFmtId="0" fontId="13" fillId="0" borderId="33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left" vertical="center" wrapText="1"/>
    </xf>
    <xf numFmtId="0" fontId="12" fillId="0" borderId="36" xfId="0" applyFont="1" applyBorder="1" applyAlignment="1">
      <alignment vertical="center" wrapText="1"/>
    </xf>
    <xf numFmtId="0" fontId="20" fillId="0" borderId="35" xfId="0" applyFont="1" applyBorder="1" applyAlignment="1">
      <alignment vertical="top" wrapText="1"/>
    </xf>
    <xf numFmtId="0" fontId="2" fillId="0" borderId="1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2" borderId="41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20" fillId="0" borderId="34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0" fillId="0" borderId="0" xfId="0" applyFont="1"/>
    <xf numFmtId="0" fontId="0" fillId="0" borderId="0" xfId="0" applyAlignment="1">
      <alignment horizontal="right"/>
    </xf>
    <xf numFmtId="0" fontId="21" fillId="0" borderId="0" xfId="0" applyFont="1" applyAlignment="1"/>
    <xf numFmtId="0" fontId="21" fillId="0" borderId="0" xfId="0" applyFont="1"/>
    <xf numFmtId="0" fontId="5" fillId="0" borderId="2" xfId="0" applyFont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19" fillId="0" borderId="0" xfId="0" applyFont="1" applyBorder="1" applyAlignment="1">
      <alignment vertic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5" fillId="0" borderId="8" xfId="0" applyFont="1" applyBorder="1"/>
    <xf numFmtId="0" fontId="2" fillId="0" borderId="4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2" fillId="0" borderId="43" xfId="0" applyFont="1" applyBorder="1"/>
    <xf numFmtId="0" fontId="2" fillId="2" borderId="45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18" fillId="0" borderId="9" xfId="0" applyFont="1" applyFill="1" applyBorder="1"/>
    <xf numFmtId="0" fontId="18" fillId="0" borderId="9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"/>
    </xf>
    <xf numFmtId="0" fontId="18" fillId="0" borderId="3" xfId="0" applyFont="1" applyFill="1" applyBorder="1" applyAlignment="1">
      <alignment horizontal="center"/>
    </xf>
    <xf numFmtId="0" fontId="18" fillId="0" borderId="13" xfId="0" applyFont="1" applyFill="1" applyBorder="1"/>
    <xf numFmtId="0" fontId="18" fillId="0" borderId="13" xfId="0" applyFont="1" applyFill="1" applyBorder="1" applyAlignment="1">
      <alignment horizontal="center"/>
    </xf>
    <xf numFmtId="0" fontId="18" fillId="0" borderId="14" xfId="0" applyFont="1" applyFill="1" applyBorder="1" applyAlignment="1">
      <alignment horizontal="center"/>
    </xf>
    <xf numFmtId="0" fontId="18" fillId="0" borderId="13" xfId="0" quotePrefix="1" applyFont="1" applyFill="1" applyBorder="1" applyAlignment="1">
      <alignment horizontal="center"/>
    </xf>
    <xf numFmtId="0" fontId="22" fillId="0" borderId="0" xfId="0" applyFont="1" applyFill="1"/>
    <xf numFmtId="0" fontId="18" fillId="0" borderId="4" xfId="0" quotePrefix="1" applyFont="1" applyFill="1" applyBorder="1" applyAlignment="1">
      <alignment horizontal="center"/>
    </xf>
    <xf numFmtId="0" fontId="18" fillId="0" borderId="15" xfId="0" applyFont="1" applyFill="1" applyBorder="1"/>
    <xf numFmtId="0" fontId="18" fillId="0" borderId="15" xfId="0" applyFont="1" applyFill="1" applyBorder="1" applyAlignment="1">
      <alignment horizontal="center"/>
    </xf>
    <xf numFmtId="0" fontId="18" fillId="0" borderId="16" xfId="0" applyFont="1" applyFill="1" applyBorder="1" applyAlignment="1">
      <alignment horizontal="center"/>
    </xf>
    <xf numFmtId="0" fontId="18" fillId="0" borderId="8" xfId="0" applyFont="1" applyFill="1" applyBorder="1" applyAlignment="1">
      <alignment horizontal="center"/>
    </xf>
    <xf numFmtId="0" fontId="18" fillId="0" borderId="43" xfId="0" applyFont="1" applyFill="1" applyBorder="1" applyAlignment="1">
      <alignment horizontal="center"/>
    </xf>
    <xf numFmtId="0" fontId="18" fillId="0" borderId="15" xfId="0" quotePrefix="1" applyFont="1" applyFill="1" applyBorder="1" applyAlignment="1">
      <alignment horizontal="center"/>
    </xf>
    <xf numFmtId="0" fontId="18" fillId="0" borderId="14" xfId="0" quotePrefix="1" applyFont="1" applyFill="1" applyBorder="1" applyAlignment="1">
      <alignment horizontal="center"/>
    </xf>
    <xf numFmtId="0" fontId="18" fillId="0" borderId="8" xfId="0" quotePrefix="1" applyFont="1" applyFill="1" applyBorder="1" applyAlignment="1">
      <alignment horizontal="center"/>
    </xf>
    <xf numFmtId="0" fontId="18" fillId="0" borderId="4" xfId="0" applyFont="1" applyFill="1" applyBorder="1" applyAlignment="1">
      <alignment horizontal="center"/>
    </xf>
    <xf numFmtId="0" fontId="18" fillId="0" borderId="10" xfId="0" applyFont="1" applyFill="1" applyBorder="1"/>
    <xf numFmtId="0" fontId="18" fillId="0" borderId="27" xfId="0" applyFont="1" applyFill="1" applyBorder="1" applyAlignment="1">
      <alignment horizontal="center"/>
    </xf>
    <xf numFmtId="0" fontId="18" fillId="0" borderId="28" xfId="0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"/>
    </xf>
    <xf numFmtId="0" fontId="18" fillId="0" borderId="25" xfId="0" applyFont="1" applyFill="1" applyBorder="1" applyAlignment="1">
      <alignment horizontal="center"/>
    </xf>
    <xf numFmtId="0" fontId="18" fillId="0" borderId="29" xfId="0" applyFont="1" applyFill="1" applyBorder="1" applyAlignment="1">
      <alignment horizontal="center"/>
    </xf>
    <xf numFmtId="0" fontId="18" fillId="0" borderId="30" xfId="0" applyFont="1" applyFill="1" applyBorder="1" applyAlignment="1">
      <alignment horizontal="center"/>
    </xf>
    <xf numFmtId="0" fontId="18" fillId="0" borderId="3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16" xfId="0" quotePrefix="1" applyFont="1" applyFill="1" applyBorder="1" applyAlignment="1">
      <alignment horizontal="center"/>
    </xf>
    <xf numFmtId="0" fontId="18" fillId="0" borderId="0" xfId="0" quotePrefix="1" applyFont="1" applyFill="1" applyBorder="1" applyAlignment="1">
      <alignment horizontal="center"/>
    </xf>
    <xf numFmtId="0" fontId="22" fillId="0" borderId="0" xfId="0" applyFont="1" applyFill="1" applyBorder="1"/>
    <xf numFmtId="0" fontId="22" fillId="0" borderId="35" xfId="0" applyFont="1" applyFill="1" applyBorder="1"/>
    <xf numFmtId="0" fontId="18" fillId="0" borderId="28" xfId="0" quotePrefix="1" applyFont="1" applyFill="1" applyBorder="1" applyAlignment="1">
      <alignment horizontal="center"/>
    </xf>
    <xf numFmtId="0" fontId="18" fillId="0" borderId="27" xfId="0" quotePrefix="1" applyFont="1" applyFill="1" applyBorder="1" applyAlignment="1">
      <alignment horizontal="center"/>
    </xf>
    <xf numFmtId="0" fontId="18" fillId="0" borderId="9" xfId="0" quotePrefix="1" applyFont="1" applyFill="1" applyBorder="1" applyAlignment="1">
      <alignment horizontal="center"/>
    </xf>
    <xf numFmtId="0" fontId="18" fillId="0" borderId="3" xfId="0" quotePrefix="1" applyFont="1" applyFill="1" applyBorder="1" applyAlignment="1">
      <alignment horizontal="center"/>
    </xf>
    <xf numFmtId="0" fontId="18" fillId="0" borderId="44" xfId="0" quotePrefix="1" applyFont="1" applyFill="1" applyBorder="1" applyAlignment="1">
      <alignment horizontal="center"/>
    </xf>
    <xf numFmtId="0" fontId="18" fillId="0" borderId="4" xfId="0" applyFont="1" applyFill="1" applyBorder="1"/>
    <xf numFmtId="0" fontId="18" fillId="0" borderId="18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7" xfId="0" applyFont="1" applyBorder="1" applyAlignment="1">
      <alignment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20" xfId="0" applyFont="1" applyBorder="1" applyAlignment="1">
      <alignment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1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23" fillId="0" borderId="8" xfId="0" applyFont="1" applyBorder="1" applyAlignment="1">
      <alignment vertical="center" wrapText="1"/>
    </xf>
    <xf numFmtId="0" fontId="23" fillId="0" borderId="0" xfId="0" applyFont="1"/>
    <xf numFmtId="0" fontId="24" fillId="0" borderId="0" xfId="0" applyFont="1" applyAlignment="1">
      <alignment horizontal="left"/>
    </xf>
    <xf numFmtId="0" fontId="8" fillId="0" borderId="0" xfId="0" applyFont="1"/>
    <xf numFmtId="0" fontId="24" fillId="0" borderId="0" xfId="0" applyFont="1" applyAlignment="1"/>
    <xf numFmtId="0" fontId="24" fillId="0" borderId="0" xfId="0" applyFont="1"/>
    <xf numFmtId="0" fontId="7" fillId="0" borderId="0" xfId="0" applyFont="1"/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17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36" xfId="0" applyFont="1" applyBorder="1" applyAlignment="1">
      <alignment vertical="top" wrapText="1"/>
    </xf>
    <xf numFmtId="0" fontId="5" fillId="0" borderId="33" xfId="0" applyFont="1" applyBorder="1" applyAlignment="1">
      <alignment vertical="top" wrapText="1"/>
    </xf>
    <xf numFmtId="0" fontId="6" fillId="0" borderId="36" xfId="0" applyFont="1" applyBorder="1" applyAlignment="1">
      <alignment vertical="top" wrapText="1"/>
    </xf>
    <xf numFmtId="0" fontId="6" fillId="0" borderId="33" xfId="0" applyFont="1" applyBorder="1" applyAlignment="1">
      <alignment vertical="top" wrapText="1"/>
    </xf>
    <xf numFmtId="0" fontId="6" fillId="0" borderId="0" xfId="0" applyFont="1" applyAlignment="1">
      <alignment horizontal="center"/>
    </xf>
    <xf numFmtId="0" fontId="5" fillId="2" borderId="36" xfId="0" applyFont="1" applyFill="1" applyBorder="1" applyAlignment="1">
      <alignment vertical="top" wrapText="1"/>
    </xf>
    <xf numFmtId="0" fontId="5" fillId="2" borderId="33" xfId="0" applyFont="1" applyFill="1" applyBorder="1" applyAlignment="1">
      <alignment vertical="top" wrapText="1"/>
    </xf>
    <xf numFmtId="0" fontId="12" fillId="0" borderId="36" xfId="0" applyFont="1" applyBorder="1" applyAlignment="1">
      <alignment vertical="top" wrapText="1"/>
    </xf>
    <xf numFmtId="0" fontId="12" fillId="0" borderId="33" xfId="0" applyFont="1" applyBorder="1" applyAlignment="1">
      <alignment vertical="top" wrapText="1"/>
    </xf>
    <xf numFmtId="0" fontId="12" fillId="0" borderId="36" xfId="0" applyFont="1" applyBorder="1" applyAlignment="1">
      <alignment horizontal="center" vertical="top" wrapText="1"/>
    </xf>
    <xf numFmtId="0" fontId="12" fillId="0" borderId="33" xfId="0" applyFont="1" applyBorder="1" applyAlignment="1">
      <alignment horizontal="center" vertical="top" wrapText="1"/>
    </xf>
    <xf numFmtId="0" fontId="13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textRotation="90"/>
    </xf>
    <xf numFmtId="0" fontId="2" fillId="0" borderId="4" xfId="0" applyFont="1" applyBorder="1" applyAlignment="1">
      <alignment horizontal="center" vertical="center" textRotation="90"/>
    </xf>
    <xf numFmtId="0" fontId="2" fillId="0" borderId="8" xfId="0" applyFont="1" applyBorder="1" applyAlignment="1">
      <alignment horizontal="center" vertical="center" textRotation="90"/>
    </xf>
    <xf numFmtId="0" fontId="18" fillId="0" borderId="5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center" vertical="center"/>
    </xf>
    <xf numFmtId="0" fontId="18" fillId="0" borderId="26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2" fillId="0" borderId="36" xfId="0" applyFont="1" applyBorder="1" applyAlignment="1">
      <alignment horizontal="center" vertical="center" wrapText="1"/>
    </xf>
    <xf numFmtId="0" fontId="0" fillId="0" borderId="33" xfId="0" applyBorder="1" applyAlignment="1">
      <alignment horizontal="center"/>
    </xf>
    <xf numFmtId="0" fontId="12" fillId="0" borderId="33" xfId="0" applyFont="1" applyBorder="1" applyAlignment="1">
      <alignment horizontal="center" vertical="center" wrapText="1"/>
    </xf>
    <xf numFmtId="0" fontId="12" fillId="0" borderId="36" xfId="0" applyFont="1" applyBorder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3" fillId="0" borderId="1" xfId="0" applyFont="1" applyBorder="1" applyAlignment="1">
      <alignment horizontal="center"/>
    </xf>
    <xf numFmtId="0" fontId="2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657225</xdr:colOff>
      <xdr:row>3</xdr:row>
      <xdr:rowOff>114300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6000"/>
        </a:blip>
        <a:srcRect/>
        <a:stretch>
          <a:fillRect/>
        </a:stretch>
      </xdr:blipFill>
      <xdr:spPr bwMode="auto">
        <a:xfrm>
          <a:off x="0" y="0"/>
          <a:ext cx="657225" cy="8667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4"/>
  <sheetViews>
    <sheetView view="pageBreakPreview" topLeftCell="A85" zoomScaleSheetLayoutView="100" workbookViewId="0">
      <selection activeCell="D103" sqref="D103"/>
    </sheetView>
  </sheetViews>
  <sheetFormatPr defaultRowHeight="15"/>
  <cols>
    <col min="1" max="1" width="4.42578125" customWidth="1"/>
    <col min="2" max="2" width="23.5703125" customWidth="1"/>
    <col min="3" max="3" width="5.42578125" customWidth="1"/>
    <col min="4" max="4" width="8.42578125" customWidth="1"/>
    <col min="5" max="5" width="12.140625" customWidth="1"/>
    <col min="6" max="6" width="4.28515625" customWidth="1"/>
    <col min="7" max="7" width="4.5703125" customWidth="1"/>
    <col min="8" max="8" width="4.42578125" customWidth="1"/>
    <col min="9" max="9" width="5" customWidth="1"/>
    <col min="10" max="10" width="15.28515625" customWidth="1"/>
  </cols>
  <sheetData>
    <row r="1" spans="1:10" ht="15.95" customHeight="1">
      <c r="D1" s="42" t="s">
        <v>181</v>
      </c>
      <c r="E1" s="42" t="s">
        <v>182</v>
      </c>
    </row>
    <row r="2" spans="1:10" ht="15.95" customHeight="1">
      <c r="E2" s="42" t="s">
        <v>183</v>
      </c>
      <c r="G2" s="42" t="s">
        <v>474</v>
      </c>
    </row>
    <row r="3" spans="1:10" ht="15.95" customHeight="1">
      <c r="E3" s="42" t="s">
        <v>184</v>
      </c>
      <c r="G3" s="42" t="s">
        <v>185</v>
      </c>
    </row>
    <row r="4" spans="1:10" ht="15.95" customHeight="1">
      <c r="E4" s="42" t="s">
        <v>186</v>
      </c>
      <c r="G4" s="42" t="s">
        <v>477</v>
      </c>
    </row>
    <row r="5" spans="1:10" ht="7.5" customHeight="1">
      <c r="A5" s="42"/>
    </row>
    <row r="6" spans="1:10" ht="15.95" customHeight="1">
      <c r="A6" s="43" t="s">
        <v>476</v>
      </c>
    </row>
    <row r="7" spans="1:10" ht="9.75" customHeight="1">
      <c r="A7" s="44"/>
    </row>
    <row r="8" spans="1:10" ht="15.95" customHeight="1">
      <c r="A8" s="306" t="s">
        <v>4</v>
      </c>
      <c r="B8" s="306" t="s">
        <v>187</v>
      </c>
      <c r="C8" s="306" t="s">
        <v>188</v>
      </c>
      <c r="D8" s="306" t="s">
        <v>189</v>
      </c>
      <c r="E8" s="306" t="s">
        <v>190</v>
      </c>
      <c r="F8" s="306" t="s">
        <v>191</v>
      </c>
      <c r="G8" s="306"/>
      <c r="H8" s="306"/>
      <c r="I8" s="309" t="s">
        <v>192</v>
      </c>
      <c r="J8" s="309" t="s">
        <v>193</v>
      </c>
    </row>
    <row r="9" spans="1:10" ht="15.95" customHeight="1">
      <c r="A9" s="306"/>
      <c r="B9" s="306"/>
      <c r="C9" s="306"/>
      <c r="D9" s="306"/>
      <c r="E9" s="306"/>
      <c r="F9" s="306"/>
      <c r="G9" s="306"/>
      <c r="H9" s="306"/>
      <c r="I9" s="322"/>
      <c r="J9" s="322"/>
    </row>
    <row r="10" spans="1:10" ht="12" customHeight="1">
      <c r="A10" s="306"/>
      <c r="B10" s="306"/>
      <c r="C10" s="306"/>
      <c r="D10" s="306"/>
      <c r="E10" s="306"/>
      <c r="F10" s="47">
        <v>7</v>
      </c>
      <c r="G10" s="47">
        <v>8</v>
      </c>
      <c r="H10" s="47">
        <v>9</v>
      </c>
      <c r="I10" s="310"/>
      <c r="J10" s="310"/>
    </row>
    <row r="11" spans="1:10" ht="15.95" customHeight="1">
      <c r="A11" s="306">
        <v>1</v>
      </c>
      <c r="B11" s="49" t="s">
        <v>307</v>
      </c>
      <c r="C11" s="307" t="s">
        <v>194</v>
      </c>
      <c r="D11" s="307" t="s">
        <v>558</v>
      </c>
      <c r="E11" s="307" t="s">
        <v>195</v>
      </c>
      <c r="F11" s="45">
        <v>8</v>
      </c>
      <c r="G11" s="45"/>
      <c r="H11" s="45"/>
      <c r="I11" s="45">
        <f>SUM(F11:H12)</f>
        <v>8</v>
      </c>
      <c r="J11" s="307" t="s">
        <v>196</v>
      </c>
    </row>
    <row r="12" spans="1:10" ht="15.95" customHeight="1">
      <c r="A12" s="306"/>
      <c r="B12" s="50" t="s">
        <v>197</v>
      </c>
      <c r="C12" s="307"/>
      <c r="D12" s="307"/>
      <c r="E12" s="307"/>
      <c r="F12" s="48"/>
      <c r="G12" s="48"/>
      <c r="H12" s="48"/>
      <c r="I12" s="48"/>
      <c r="J12" s="307"/>
    </row>
    <row r="13" spans="1:10" ht="15.95" customHeight="1">
      <c r="A13" s="306">
        <v>2</v>
      </c>
      <c r="B13" s="49" t="s">
        <v>198</v>
      </c>
      <c r="C13" s="307" t="s">
        <v>194</v>
      </c>
      <c r="D13" s="307" t="s">
        <v>199</v>
      </c>
      <c r="E13" s="49" t="s">
        <v>36</v>
      </c>
      <c r="F13" s="45"/>
      <c r="G13" s="45">
        <v>25</v>
      </c>
      <c r="H13" s="45"/>
      <c r="I13" s="45">
        <f t="shared" ref="I13" si="0">SUM(F13:H14)</f>
        <v>25</v>
      </c>
      <c r="J13" s="279" t="s">
        <v>266</v>
      </c>
    </row>
    <row r="14" spans="1:10" ht="15.95" customHeight="1">
      <c r="A14" s="309"/>
      <c r="B14" s="280" t="s">
        <v>200</v>
      </c>
      <c r="C14" s="311"/>
      <c r="D14" s="311"/>
      <c r="E14" s="280"/>
      <c r="F14" s="284"/>
      <c r="G14" s="284"/>
      <c r="H14" s="284"/>
      <c r="I14" s="284"/>
      <c r="J14" s="280"/>
    </row>
    <row r="15" spans="1:10" ht="15.95" customHeight="1">
      <c r="A15" s="312">
        <v>3</v>
      </c>
      <c r="B15" s="279" t="s">
        <v>201</v>
      </c>
      <c r="C15" s="314" t="s">
        <v>194</v>
      </c>
      <c r="D15" s="311" t="s">
        <v>312</v>
      </c>
      <c r="E15" s="314" t="s">
        <v>41</v>
      </c>
      <c r="F15" s="277"/>
      <c r="G15" s="289"/>
      <c r="H15" s="277">
        <v>24</v>
      </c>
      <c r="I15" s="289">
        <f t="shared" ref="I15" si="1">SUM(F15:H16)</f>
        <v>24</v>
      </c>
      <c r="J15" s="279" t="s">
        <v>206</v>
      </c>
    </row>
    <row r="16" spans="1:10" ht="15.95" customHeight="1">
      <c r="A16" s="313"/>
      <c r="B16" s="280" t="s">
        <v>202</v>
      </c>
      <c r="C16" s="315"/>
      <c r="D16" s="317"/>
      <c r="E16" s="315"/>
      <c r="F16" s="284"/>
      <c r="G16" s="287"/>
      <c r="H16" s="284"/>
      <c r="I16" s="287"/>
      <c r="J16" s="280" t="s">
        <v>375</v>
      </c>
    </row>
    <row r="17" spans="1:10" ht="15.95" customHeight="1">
      <c r="A17" s="291"/>
      <c r="B17" s="280"/>
      <c r="C17" s="286"/>
      <c r="D17" s="280"/>
      <c r="E17" s="286"/>
      <c r="F17" s="284"/>
      <c r="G17" s="287"/>
      <c r="H17" s="284"/>
      <c r="I17" s="287"/>
      <c r="J17" s="280" t="s">
        <v>410</v>
      </c>
    </row>
    <row r="18" spans="1:10" ht="15.95" customHeight="1">
      <c r="A18" s="292"/>
      <c r="B18" s="281"/>
      <c r="C18" s="293"/>
      <c r="D18" s="281"/>
      <c r="E18" s="293"/>
      <c r="F18" s="278"/>
      <c r="G18" s="294"/>
      <c r="H18" s="278"/>
      <c r="I18" s="294"/>
      <c r="J18" s="281" t="s">
        <v>559</v>
      </c>
    </row>
    <row r="19" spans="1:10" ht="15.95" customHeight="1">
      <c r="A19" s="310">
        <v>4</v>
      </c>
      <c r="B19" s="280" t="s">
        <v>203</v>
      </c>
      <c r="C19" s="316" t="s">
        <v>194</v>
      </c>
      <c r="D19" s="316" t="s">
        <v>312</v>
      </c>
      <c r="E19" s="280" t="s">
        <v>45</v>
      </c>
      <c r="F19" s="284">
        <v>12</v>
      </c>
      <c r="G19" s="284"/>
      <c r="H19" s="284">
        <v>12</v>
      </c>
      <c r="I19" s="284">
        <f t="shared" ref="I19" si="2">SUM(F19:H20)</f>
        <v>24</v>
      </c>
      <c r="J19" s="307" t="s">
        <v>426</v>
      </c>
    </row>
    <row r="20" spans="1:10" ht="15.95" customHeight="1">
      <c r="A20" s="306"/>
      <c r="B20" s="50" t="s">
        <v>204</v>
      </c>
      <c r="C20" s="307"/>
      <c r="D20" s="307"/>
      <c r="E20" s="50"/>
      <c r="F20" s="48"/>
      <c r="G20" s="48"/>
      <c r="H20" s="48"/>
      <c r="I20" s="48"/>
      <c r="J20" s="307"/>
    </row>
    <row r="21" spans="1:10" ht="15.95" customHeight="1">
      <c r="A21" s="306">
        <v>5</v>
      </c>
      <c r="B21" s="49" t="s">
        <v>309</v>
      </c>
      <c r="C21" s="307" t="s">
        <v>194</v>
      </c>
      <c r="D21" s="307" t="s">
        <v>312</v>
      </c>
      <c r="E21" s="307" t="s">
        <v>205</v>
      </c>
      <c r="F21" s="45">
        <v>12</v>
      </c>
      <c r="G21" s="45"/>
      <c r="H21" s="45">
        <v>12</v>
      </c>
      <c r="I21" s="45">
        <f t="shared" ref="I21" si="3">SUM(F21:H22)</f>
        <v>24</v>
      </c>
      <c r="J21" s="307" t="s">
        <v>220</v>
      </c>
    </row>
    <row r="22" spans="1:10" ht="15.95" customHeight="1">
      <c r="A22" s="306"/>
      <c r="B22" s="50" t="s">
        <v>310</v>
      </c>
      <c r="C22" s="307"/>
      <c r="D22" s="307"/>
      <c r="E22" s="307"/>
      <c r="F22" s="48"/>
      <c r="G22" s="48"/>
      <c r="H22" s="48"/>
      <c r="I22" s="48"/>
      <c r="J22" s="307"/>
    </row>
    <row r="23" spans="1:10" ht="15.95" customHeight="1">
      <c r="A23" s="306">
        <v>6</v>
      </c>
      <c r="B23" s="49" t="s">
        <v>311</v>
      </c>
      <c r="C23" s="307" t="s">
        <v>194</v>
      </c>
      <c r="D23" s="307" t="s">
        <v>456</v>
      </c>
      <c r="E23" s="49" t="s">
        <v>207</v>
      </c>
      <c r="F23" s="45"/>
      <c r="G23" s="45">
        <v>16</v>
      </c>
      <c r="H23" s="45">
        <v>8</v>
      </c>
      <c r="I23" s="45">
        <f t="shared" ref="I23" si="4">SUM(F23:H24)</f>
        <v>24</v>
      </c>
      <c r="J23" s="307" t="s">
        <v>236</v>
      </c>
    </row>
    <row r="24" spans="1:10" ht="15.95" customHeight="1">
      <c r="A24" s="306"/>
      <c r="B24" s="50" t="s">
        <v>208</v>
      </c>
      <c r="C24" s="307"/>
      <c r="D24" s="307"/>
      <c r="E24" s="50"/>
      <c r="F24" s="48"/>
      <c r="G24" s="48"/>
      <c r="H24" s="48"/>
      <c r="I24" s="48"/>
      <c r="J24" s="307"/>
    </row>
    <row r="25" spans="1:10" ht="15.95" customHeight="1">
      <c r="A25" s="306">
        <v>7</v>
      </c>
      <c r="B25" s="49" t="s">
        <v>209</v>
      </c>
      <c r="C25" s="307" t="s">
        <v>194</v>
      </c>
      <c r="D25" s="307" t="s">
        <v>313</v>
      </c>
      <c r="E25" s="82" t="s">
        <v>41</v>
      </c>
      <c r="F25" s="45">
        <v>24</v>
      </c>
      <c r="G25" s="45"/>
      <c r="H25" s="45"/>
      <c r="I25" s="45">
        <f t="shared" ref="I25:I35" si="5">SUM(F25:H26)</f>
        <v>24</v>
      </c>
      <c r="J25" s="307" t="s">
        <v>59</v>
      </c>
    </row>
    <row r="26" spans="1:10" ht="15.95" customHeight="1">
      <c r="A26" s="306"/>
      <c r="B26" s="50" t="s">
        <v>210</v>
      </c>
      <c r="C26" s="307"/>
      <c r="D26" s="307"/>
      <c r="E26" s="83"/>
      <c r="F26" s="48"/>
      <c r="G26" s="48"/>
      <c r="H26" s="48"/>
      <c r="I26" s="48"/>
      <c r="J26" s="307"/>
    </row>
    <row r="27" spans="1:10" ht="15.95" customHeight="1">
      <c r="A27" s="306">
        <v>8</v>
      </c>
      <c r="B27" s="49" t="s">
        <v>211</v>
      </c>
      <c r="C27" s="307" t="s">
        <v>194</v>
      </c>
      <c r="D27" s="307" t="s">
        <v>314</v>
      </c>
      <c r="E27" s="307" t="s">
        <v>212</v>
      </c>
      <c r="F27" s="45"/>
      <c r="G27" s="45">
        <v>20</v>
      </c>
      <c r="H27" s="45">
        <v>4</v>
      </c>
      <c r="I27" s="45">
        <f t="shared" ref="I27" si="6">SUM(F27:H28)</f>
        <v>24</v>
      </c>
      <c r="J27" s="162" t="s">
        <v>63</v>
      </c>
    </row>
    <row r="28" spans="1:10" ht="15.95" customHeight="1">
      <c r="A28" s="306"/>
      <c r="B28" s="50" t="s">
        <v>213</v>
      </c>
      <c r="C28" s="307"/>
      <c r="D28" s="307"/>
      <c r="E28" s="307"/>
      <c r="F28" s="48"/>
      <c r="G28" s="48"/>
      <c r="H28" s="48"/>
      <c r="I28" s="48"/>
      <c r="J28" s="164" t="s">
        <v>448</v>
      </c>
    </row>
    <row r="29" spans="1:10" ht="15.95" customHeight="1">
      <c r="A29" s="306">
        <v>9</v>
      </c>
      <c r="B29" s="49" t="s">
        <v>214</v>
      </c>
      <c r="C29" s="307" t="s">
        <v>194</v>
      </c>
      <c r="D29" s="307" t="s">
        <v>215</v>
      </c>
      <c r="E29" s="296" t="s">
        <v>67</v>
      </c>
      <c r="F29" s="45"/>
      <c r="G29" s="45">
        <v>2</v>
      </c>
      <c r="H29" s="45">
        <v>12</v>
      </c>
      <c r="I29" s="45">
        <f t="shared" ref="I29" si="7">SUM(F29:H30)</f>
        <v>25</v>
      </c>
      <c r="J29" s="307" t="s">
        <v>281</v>
      </c>
    </row>
    <row r="30" spans="1:10" ht="15.95" customHeight="1">
      <c r="A30" s="306"/>
      <c r="B30" s="50" t="s">
        <v>217</v>
      </c>
      <c r="C30" s="307"/>
      <c r="D30" s="307"/>
      <c r="E30" s="297" t="s">
        <v>493</v>
      </c>
      <c r="F30" s="48"/>
      <c r="G30" s="48">
        <v>5</v>
      </c>
      <c r="H30" s="48">
        <v>6</v>
      </c>
      <c r="I30" s="48"/>
      <c r="J30" s="307"/>
    </row>
    <row r="31" spans="1:10" ht="15.95" customHeight="1">
      <c r="A31" s="306">
        <v>10</v>
      </c>
      <c r="B31" s="49" t="s">
        <v>218</v>
      </c>
      <c r="C31" s="307" t="s">
        <v>194</v>
      </c>
      <c r="D31" s="307" t="s">
        <v>230</v>
      </c>
      <c r="E31" s="307" t="s">
        <v>219</v>
      </c>
      <c r="F31" s="45"/>
      <c r="G31" s="45"/>
      <c r="H31" s="45">
        <v>24</v>
      </c>
      <c r="I31" s="45">
        <f t="shared" ref="I31" si="8">SUM(F31:H32)</f>
        <v>24</v>
      </c>
      <c r="J31" s="307" t="s">
        <v>560</v>
      </c>
    </row>
    <row r="32" spans="1:10" ht="15.95" customHeight="1">
      <c r="A32" s="306"/>
      <c r="B32" s="50" t="s">
        <v>221</v>
      </c>
      <c r="C32" s="307"/>
      <c r="D32" s="307"/>
      <c r="E32" s="307"/>
      <c r="F32" s="48"/>
      <c r="G32" s="48"/>
      <c r="H32" s="48"/>
      <c r="I32" s="48"/>
      <c r="J32" s="307"/>
    </row>
    <row r="33" spans="1:10" ht="15.95" customHeight="1">
      <c r="A33" s="306">
        <v>11</v>
      </c>
      <c r="B33" s="49" t="s">
        <v>222</v>
      </c>
      <c r="C33" s="307" t="s">
        <v>194</v>
      </c>
      <c r="D33" s="307" t="s">
        <v>315</v>
      </c>
      <c r="E33" s="49" t="s">
        <v>223</v>
      </c>
      <c r="F33" s="45">
        <v>12</v>
      </c>
      <c r="G33" s="45"/>
      <c r="H33" s="45">
        <v>12</v>
      </c>
      <c r="I33" s="45">
        <f t="shared" ref="I33" si="9">SUM(F33:H34)</f>
        <v>24</v>
      </c>
      <c r="J33" s="307" t="s">
        <v>446</v>
      </c>
    </row>
    <row r="34" spans="1:10" ht="15.95" customHeight="1">
      <c r="A34" s="306"/>
      <c r="B34" s="50" t="s">
        <v>225</v>
      </c>
      <c r="C34" s="307"/>
      <c r="D34" s="307"/>
      <c r="E34" s="50"/>
      <c r="F34" s="48"/>
      <c r="G34" s="48"/>
      <c r="H34" s="48"/>
      <c r="I34" s="48"/>
      <c r="J34" s="307"/>
    </row>
    <row r="35" spans="1:10" ht="15.95" customHeight="1">
      <c r="A35" s="306">
        <v>12</v>
      </c>
      <c r="B35" s="49" t="s">
        <v>227</v>
      </c>
      <c r="C35" s="307" t="s">
        <v>194</v>
      </c>
      <c r="D35" s="307" t="s">
        <v>312</v>
      </c>
      <c r="E35" s="51" t="s">
        <v>80</v>
      </c>
      <c r="F35" s="46">
        <v>12</v>
      </c>
      <c r="G35" s="45"/>
      <c r="H35" s="45"/>
      <c r="I35" s="45">
        <f t="shared" si="5"/>
        <v>12</v>
      </c>
      <c r="J35" s="307" t="s">
        <v>81</v>
      </c>
    </row>
    <row r="36" spans="1:10" ht="15.95" customHeight="1">
      <c r="A36" s="309"/>
      <c r="B36" s="280" t="s">
        <v>228</v>
      </c>
      <c r="C36" s="311"/>
      <c r="D36" s="311"/>
      <c r="E36" s="280"/>
      <c r="F36" s="284"/>
      <c r="G36" s="284"/>
      <c r="H36" s="284"/>
      <c r="I36" s="284"/>
      <c r="J36" s="311"/>
    </row>
    <row r="37" spans="1:10" ht="15.95" customHeight="1">
      <c r="A37" s="312">
        <v>13</v>
      </c>
      <c r="B37" s="279" t="s">
        <v>229</v>
      </c>
      <c r="C37" s="314" t="s">
        <v>194</v>
      </c>
      <c r="D37" s="311" t="s">
        <v>230</v>
      </c>
      <c r="E37" s="279" t="s">
        <v>41</v>
      </c>
      <c r="F37" s="289"/>
      <c r="G37" s="277">
        <v>20</v>
      </c>
      <c r="H37" s="289"/>
      <c r="I37" s="277">
        <f>SUM(F37:H38)</f>
        <v>26</v>
      </c>
      <c r="J37" s="290" t="s">
        <v>273</v>
      </c>
    </row>
    <row r="38" spans="1:10" ht="15.95" customHeight="1">
      <c r="A38" s="320"/>
      <c r="B38" s="281" t="s">
        <v>231</v>
      </c>
      <c r="C38" s="321"/>
      <c r="D38" s="316"/>
      <c r="E38" s="281" t="s">
        <v>226</v>
      </c>
      <c r="F38" s="294"/>
      <c r="G38" s="278">
        <v>3</v>
      </c>
      <c r="H38" s="294">
        <v>3</v>
      </c>
      <c r="I38" s="278"/>
      <c r="J38" s="295" t="s">
        <v>448</v>
      </c>
    </row>
    <row r="39" spans="1:10" ht="15.95" customHeight="1">
      <c r="A39" s="310">
        <v>14</v>
      </c>
      <c r="B39" s="280" t="s">
        <v>232</v>
      </c>
      <c r="C39" s="316" t="s">
        <v>194</v>
      </c>
      <c r="D39" s="280" t="s">
        <v>233</v>
      </c>
      <c r="E39" s="280" t="s">
        <v>88</v>
      </c>
      <c r="F39" s="284"/>
      <c r="G39" s="284">
        <v>10</v>
      </c>
      <c r="H39" s="284"/>
      <c r="I39" s="284">
        <f>SUM(F39:H40)</f>
        <v>25</v>
      </c>
      <c r="J39" s="280" t="s">
        <v>561</v>
      </c>
    </row>
    <row r="40" spans="1:10" ht="15.95" customHeight="1">
      <c r="A40" s="306"/>
      <c r="B40" s="51" t="s">
        <v>234</v>
      </c>
      <c r="C40" s="307"/>
      <c r="D40" s="51" t="s">
        <v>88</v>
      </c>
      <c r="E40" s="116" t="s">
        <v>226</v>
      </c>
      <c r="F40" s="46"/>
      <c r="G40" s="157"/>
      <c r="H40" s="46">
        <v>15</v>
      </c>
      <c r="I40" s="157"/>
      <c r="J40" s="164" t="s">
        <v>448</v>
      </c>
    </row>
    <row r="41" spans="1:10" ht="15.95" customHeight="1">
      <c r="A41" s="306">
        <v>15</v>
      </c>
      <c r="B41" s="49" t="s">
        <v>235</v>
      </c>
      <c r="C41" s="307" t="s">
        <v>194</v>
      </c>
      <c r="D41" s="307" t="s">
        <v>316</v>
      </c>
      <c r="E41" s="307" t="s">
        <v>212</v>
      </c>
      <c r="F41" s="45">
        <v>16</v>
      </c>
      <c r="G41" s="45"/>
      <c r="H41" s="45"/>
      <c r="I41" s="45">
        <f>SUM(F41:H42)</f>
        <v>16</v>
      </c>
      <c r="J41" s="307"/>
    </row>
    <row r="42" spans="1:10" ht="15.95" customHeight="1">
      <c r="A42" s="306"/>
      <c r="B42" s="50" t="s">
        <v>237</v>
      </c>
      <c r="C42" s="307"/>
      <c r="D42" s="307"/>
      <c r="E42" s="307"/>
      <c r="F42" s="48"/>
      <c r="G42" s="48"/>
      <c r="H42" s="48"/>
      <c r="I42" s="48"/>
      <c r="J42" s="307"/>
    </row>
    <row r="43" spans="1:10" ht="15.95" customHeight="1">
      <c r="A43" s="306">
        <v>16</v>
      </c>
      <c r="B43" s="49" t="s">
        <v>238</v>
      </c>
      <c r="C43" s="307" t="s">
        <v>194</v>
      </c>
      <c r="D43" s="307" t="s">
        <v>316</v>
      </c>
      <c r="E43" s="307" t="s">
        <v>212</v>
      </c>
      <c r="F43" s="45">
        <v>4</v>
      </c>
      <c r="G43" s="45"/>
      <c r="H43" s="45">
        <v>20</v>
      </c>
      <c r="I43" s="45">
        <f t="shared" ref="I43" si="10">SUM(F43:H44)</f>
        <v>24</v>
      </c>
      <c r="J43" s="307" t="s">
        <v>239</v>
      </c>
    </row>
    <row r="44" spans="1:10" ht="15.95" customHeight="1">
      <c r="A44" s="309"/>
      <c r="B44" s="280" t="s">
        <v>240</v>
      </c>
      <c r="C44" s="311"/>
      <c r="D44" s="311"/>
      <c r="E44" s="311"/>
      <c r="F44" s="284"/>
      <c r="G44" s="284"/>
      <c r="H44" s="284"/>
      <c r="I44" s="284"/>
      <c r="J44" s="311"/>
    </row>
    <row r="45" spans="1:10" ht="15.95" customHeight="1">
      <c r="A45" s="312">
        <v>17</v>
      </c>
      <c r="B45" s="279" t="s">
        <v>241</v>
      </c>
      <c r="C45" s="314" t="s">
        <v>194</v>
      </c>
      <c r="D45" s="318" t="s">
        <v>242</v>
      </c>
      <c r="E45" s="314" t="s">
        <v>88</v>
      </c>
      <c r="F45" s="277">
        <v>12</v>
      </c>
      <c r="G45" s="289"/>
      <c r="H45" s="277">
        <v>12</v>
      </c>
      <c r="I45" s="289">
        <f>SUM(F45:H46)</f>
        <v>24</v>
      </c>
      <c r="J45" s="296" t="s">
        <v>243</v>
      </c>
    </row>
    <row r="46" spans="1:10" ht="15.95" customHeight="1">
      <c r="A46" s="313"/>
      <c r="B46" s="280" t="s">
        <v>244</v>
      </c>
      <c r="C46" s="315"/>
      <c r="D46" s="319"/>
      <c r="E46" s="315"/>
      <c r="F46" s="284"/>
      <c r="G46" s="287"/>
      <c r="H46" s="284"/>
      <c r="I46" s="287"/>
      <c r="J46" s="298" t="s">
        <v>559</v>
      </c>
    </row>
    <row r="47" spans="1:10" ht="15.95" customHeight="1">
      <c r="A47" s="292"/>
      <c r="B47" s="281"/>
      <c r="C47" s="293"/>
      <c r="D47" s="283"/>
      <c r="E47" s="293"/>
      <c r="F47" s="278"/>
      <c r="G47" s="294"/>
      <c r="H47" s="278"/>
      <c r="I47" s="294"/>
      <c r="J47" s="281" t="s">
        <v>562</v>
      </c>
    </row>
    <row r="48" spans="1:10" ht="15.95" customHeight="1">
      <c r="A48" s="310">
        <v>18</v>
      </c>
      <c r="B48" s="280" t="s">
        <v>245</v>
      </c>
      <c r="C48" s="316" t="s">
        <v>194</v>
      </c>
      <c r="D48" s="316" t="s">
        <v>246</v>
      </c>
      <c r="E48" s="280" t="s">
        <v>247</v>
      </c>
      <c r="F48" s="284"/>
      <c r="G48" s="284">
        <v>4</v>
      </c>
      <c r="H48" s="284"/>
      <c r="I48" s="284">
        <f t="shared" ref="I48" si="11">SUM(F48:H49)</f>
        <v>14</v>
      </c>
      <c r="J48" s="316"/>
    </row>
    <row r="49" spans="1:10" ht="15.95" customHeight="1">
      <c r="A49" s="306"/>
      <c r="B49" s="50" t="s">
        <v>248</v>
      </c>
      <c r="C49" s="307"/>
      <c r="D49" s="307"/>
      <c r="E49" s="281" t="s">
        <v>106</v>
      </c>
      <c r="F49" s="48"/>
      <c r="G49" s="48">
        <v>10</v>
      </c>
      <c r="H49" s="48"/>
      <c r="I49" s="48"/>
      <c r="J49" s="307"/>
    </row>
    <row r="50" spans="1:10" ht="15.95" customHeight="1">
      <c r="A50" s="306">
        <v>19</v>
      </c>
      <c r="B50" s="49" t="s">
        <v>249</v>
      </c>
      <c r="C50" s="307" t="s">
        <v>194</v>
      </c>
      <c r="D50" s="307" t="s">
        <v>250</v>
      </c>
      <c r="E50" s="307" t="s">
        <v>251</v>
      </c>
      <c r="F50" s="45">
        <v>8</v>
      </c>
      <c r="G50" s="45"/>
      <c r="H50" s="45">
        <v>16</v>
      </c>
      <c r="I50" s="45">
        <f t="shared" ref="I50" si="12">SUM(F50:H51)</f>
        <v>24</v>
      </c>
      <c r="J50" s="307" t="s">
        <v>563</v>
      </c>
    </row>
    <row r="51" spans="1:10" ht="15.95" customHeight="1">
      <c r="A51" s="306"/>
      <c r="B51" s="50" t="s">
        <v>252</v>
      </c>
      <c r="C51" s="307"/>
      <c r="D51" s="307"/>
      <c r="E51" s="307"/>
      <c r="F51" s="48"/>
      <c r="G51" s="48"/>
      <c r="H51" s="48"/>
      <c r="I51" s="48"/>
      <c r="J51" s="307"/>
    </row>
    <row r="52" spans="1:10" ht="15.95" customHeight="1">
      <c r="A52" s="306">
        <v>20</v>
      </c>
      <c r="B52" s="49" t="s">
        <v>253</v>
      </c>
      <c r="C52" s="307" t="s">
        <v>194</v>
      </c>
      <c r="D52" s="49" t="s">
        <v>254</v>
      </c>
      <c r="E52" s="307" t="s">
        <v>80</v>
      </c>
      <c r="F52" s="45"/>
      <c r="G52" s="45">
        <v>10</v>
      </c>
      <c r="H52" s="45">
        <v>12</v>
      </c>
      <c r="I52" s="45">
        <f>SUM(F52:H53)</f>
        <v>22</v>
      </c>
      <c r="J52" s="279" t="s">
        <v>243</v>
      </c>
    </row>
    <row r="53" spans="1:10" ht="15.95" customHeight="1">
      <c r="A53" s="306"/>
      <c r="B53" s="50" t="s">
        <v>255</v>
      </c>
      <c r="C53" s="307"/>
      <c r="D53" s="50" t="s">
        <v>256</v>
      </c>
      <c r="E53" s="307"/>
      <c r="F53" s="48"/>
      <c r="G53" s="48"/>
      <c r="H53" s="48"/>
      <c r="I53" s="48"/>
      <c r="J53" s="281" t="s">
        <v>564</v>
      </c>
    </row>
    <row r="54" spans="1:10" ht="15.95" customHeight="1">
      <c r="A54" s="306">
        <v>21</v>
      </c>
      <c r="B54" s="49" t="s">
        <v>257</v>
      </c>
      <c r="C54" s="307" t="s">
        <v>194</v>
      </c>
      <c r="D54" s="307" t="s">
        <v>258</v>
      </c>
      <c r="E54" s="307" t="s">
        <v>36</v>
      </c>
      <c r="F54" s="45">
        <v>25</v>
      </c>
      <c r="G54" s="45"/>
      <c r="H54" s="45"/>
      <c r="I54" s="45">
        <f t="shared" ref="I54" si="13">SUM(F54:H55)</f>
        <v>25</v>
      </c>
      <c r="J54" s="279" t="s">
        <v>224</v>
      </c>
    </row>
    <row r="55" spans="1:10" ht="15.95" customHeight="1">
      <c r="A55" s="306"/>
      <c r="B55" s="50" t="s">
        <v>259</v>
      </c>
      <c r="C55" s="307"/>
      <c r="D55" s="307"/>
      <c r="E55" s="307"/>
      <c r="F55" s="48"/>
      <c r="G55" s="48"/>
      <c r="H55" s="48"/>
      <c r="I55" s="48"/>
      <c r="J55" s="299" t="s">
        <v>565</v>
      </c>
    </row>
    <row r="56" spans="1:10" ht="15.95" customHeight="1">
      <c r="A56" s="306">
        <v>22</v>
      </c>
      <c r="B56" s="49" t="s">
        <v>260</v>
      </c>
      <c r="C56" s="307" t="s">
        <v>457</v>
      </c>
      <c r="D56" s="307" t="s">
        <v>261</v>
      </c>
      <c r="E56" s="307" t="s">
        <v>262</v>
      </c>
      <c r="F56" s="45"/>
      <c r="G56" s="45">
        <v>10</v>
      </c>
      <c r="H56" s="45">
        <v>12</v>
      </c>
      <c r="I56" s="45">
        <f t="shared" ref="I56" si="14">SUM(F56:H57)</f>
        <v>22</v>
      </c>
      <c r="J56" s="279" t="s">
        <v>46</v>
      </c>
    </row>
    <row r="57" spans="1:10" ht="15.95" customHeight="1">
      <c r="A57" s="306"/>
      <c r="B57" s="50" t="s">
        <v>263</v>
      </c>
      <c r="C57" s="307"/>
      <c r="D57" s="307"/>
      <c r="E57" s="307"/>
      <c r="F57" s="48"/>
      <c r="G57" s="48"/>
      <c r="H57" s="48"/>
      <c r="I57" s="48"/>
      <c r="J57" s="175"/>
    </row>
    <row r="58" spans="1:10" ht="15.95" customHeight="1">
      <c r="A58" s="306">
        <v>23</v>
      </c>
      <c r="B58" s="49" t="s">
        <v>264</v>
      </c>
      <c r="C58" s="307" t="s">
        <v>457</v>
      </c>
      <c r="D58" s="307" t="s">
        <v>265</v>
      </c>
      <c r="E58" s="307" t="s">
        <v>219</v>
      </c>
      <c r="F58" s="45"/>
      <c r="G58" s="45">
        <v>20</v>
      </c>
      <c r="H58" s="45"/>
      <c r="I58" s="45">
        <f t="shared" ref="I58" si="15">SUM(F58:H59)</f>
        <v>20</v>
      </c>
      <c r="J58" s="279" t="s">
        <v>566</v>
      </c>
    </row>
    <row r="59" spans="1:10" ht="15.95" customHeight="1">
      <c r="A59" s="306"/>
      <c r="B59" s="50" t="s">
        <v>267</v>
      </c>
      <c r="C59" s="307"/>
      <c r="D59" s="307"/>
      <c r="E59" s="307"/>
      <c r="F59" s="48"/>
      <c r="G59" s="48"/>
      <c r="H59" s="48"/>
      <c r="I59" s="48"/>
      <c r="J59" s="281" t="s">
        <v>567</v>
      </c>
    </row>
    <row r="60" spans="1:10" ht="15.95" customHeight="1">
      <c r="A60" s="306">
        <v>24</v>
      </c>
      <c r="B60" s="145" t="s">
        <v>268</v>
      </c>
      <c r="C60" s="311" t="s">
        <v>457</v>
      </c>
      <c r="D60" s="311" t="s">
        <v>261</v>
      </c>
      <c r="E60" s="145" t="s">
        <v>262</v>
      </c>
      <c r="F60" s="143">
        <v>12</v>
      </c>
      <c r="G60" s="143"/>
      <c r="H60" s="143"/>
      <c r="I60" s="143">
        <f>SUM(F60:H61)</f>
        <v>24</v>
      </c>
      <c r="J60" s="279" t="s">
        <v>216</v>
      </c>
    </row>
    <row r="61" spans="1:10" ht="15.95" customHeight="1">
      <c r="A61" s="306"/>
      <c r="B61" s="147" t="s">
        <v>269</v>
      </c>
      <c r="C61" s="317"/>
      <c r="D61" s="317"/>
      <c r="E61" s="146" t="s">
        <v>226</v>
      </c>
      <c r="F61" s="144">
        <v>12</v>
      </c>
      <c r="G61" s="144"/>
      <c r="H61" s="144"/>
      <c r="I61" s="144"/>
      <c r="J61" s="280" t="s">
        <v>559</v>
      </c>
    </row>
    <row r="62" spans="1:10" ht="15.95" customHeight="1">
      <c r="A62" s="306">
        <v>25</v>
      </c>
      <c r="B62" s="49" t="s">
        <v>271</v>
      </c>
      <c r="C62" s="307" t="s">
        <v>457</v>
      </c>
      <c r="D62" s="279" t="s">
        <v>272</v>
      </c>
      <c r="E62" s="279" t="s">
        <v>270</v>
      </c>
      <c r="F62" s="279">
        <v>16</v>
      </c>
      <c r="G62" s="279">
        <v>4</v>
      </c>
      <c r="H62" s="279"/>
      <c r="I62" s="279">
        <f t="shared" ref="I62" si="16">SUM(F62:H63)</f>
        <v>26</v>
      </c>
      <c r="J62" s="307"/>
    </row>
    <row r="63" spans="1:10" ht="15.95" customHeight="1">
      <c r="A63" s="306"/>
      <c r="B63" s="50" t="s">
        <v>274</v>
      </c>
      <c r="C63" s="307"/>
      <c r="D63" s="281"/>
      <c r="E63" s="281" t="s">
        <v>226</v>
      </c>
      <c r="F63" s="281"/>
      <c r="G63" s="281">
        <v>6</v>
      </c>
      <c r="H63" s="281"/>
      <c r="I63" s="281"/>
      <c r="J63" s="307"/>
    </row>
    <row r="64" spans="1:10" ht="15.95" customHeight="1">
      <c r="A64" s="306">
        <v>26</v>
      </c>
      <c r="B64" s="49" t="s">
        <v>275</v>
      </c>
      <c r="C64" s="307" t="s">
        <v>457</v>
      </c>
      <c r="D64" s="49" t="s">
        <v>276</v>
      </c>
      <c r="E64" s="49" t="s">
        <v>36</v>
      </c>
      <c r="F64" s="45"/>
      <c r="G64" s="45"/>
      <c r="H64" s="45">
        <v>20</v>
      </c>
      <c r="I64" s="45">
        <f t="shared" ref="I64" si="17">SUM(F64:H65)</f>
        <v>20</v>
      </c>
      <c r="J64" s="57" t="s">
        <v>63</v>
      </c>
    </row>
    <row r="65" spans="1:10" ht="15.95" customHeight="1">
      <c r="A65" s="309"/>
      <c r="B65" s="280" t="s">
        <v>277</v>
      </c>
      <c r="C65" s="311"/>
      <c r="D65" s="280"/>
      <c r="E65" s="280"/>
      <c r="F65" s="284"/>
      <c r="G65" s="284"/>
      <c r="H65" s="284"/>
      <c r="I65" s="284"/>
      <c r="J65" s="280"/>
    </row>
    <row r="66" spans="1:10" ht="15.95" customHeight="1">
      <c r="A66" s="312">
        <v>27</v>
      </c>
      <c r="B66" s="279" t="s">
        <v>278</v>
      </c>
      <c r="C66" s="314" t="s">
        <v>124</v>
      </c>
      <c r="D66" s="279" t="s">
        <v>279</v>
      </c>
      <c r="E66" s="288" t="s">
        <v>280</v>
      </c>
      <c r="F66" s="277"/>
      <c r="G66" s="289">
        <v>10</v>
      </c>
      <c r="H66" s="277"/>
      <c r="I66" s="289">
        <f t="shared" ref="I66" si="18">SUM(F66:H67)</f>
        <v>24</v>
      </c>
      <c r="J66" s="279" t="s">
        <v>568</v>
      </c>
    </row>
    <row r="67" spans="1:10" ht="15.95" customHeight="1">
      <c r="A67" s="313"/>
      <c r="B67" s="280" t="s">
        <v>282</v>
      </c>
      <c r="C67" s="315"/>
      <c r="D67" s="280" t="s">
        <v>283</v>
      </c>
      <c r="E67" s="286" t="s">
        <v>67</v>
      </c>
      <c r="F67" s="284">
        <v>12</v>
      </c>
      <c r="G67" s="287">
        <v>2</v>
      </c>
      <c r="H67" s="284"/>
      <c r="I67" s="287"/>
      <c r="J67" s="280" t="s">
        <v>569</v>
      </c>
    </row>
    <row r="68" spans="1:10" ht="15.95" customHeight="1">
      <c r="A68" s="292"/>
      <c r="B68" s="281"/>
      <c r="C68" s="293"/>
      <c r="D68" s="281"/>
      <c r="E68" s="293"/>
      <c r="F68" s="278"/>
      <c r="G68" s="294"/>
      <c r="H68" s="278"/>
      <c r="I68" s="294"/>
      <c r="J68" s="281" t="s">
        <v>448</v>
      </c>
    </row>
    <row r="69" spans="1:10" ht="15.95" customHeight="1">
      <c r="A69" s="310">
        <v>28</v>
      </c>
      <c r="B69" s="280" t="s">
        <v>284</v>
      </c>
      <c r="C69" s="316" t="s">
        <v>124</v>
      </c>
      <c r="D69" s="280" t="s">
        <v>258</v>
      </c>
      <c r="E69" s="280" t="s">
        <v>36</v>
      </c>
      <c r="F69" s="284"/>
      <c r="G69" s="284"/>
      <c r="H69" s="284">
        <v>10</v>
      </c>
      <c r="I69" s="284">
        <f t="shared" ref="I69" si="19">SUM(F69:H70)</f>
        <v>14</v>
      </c>
      <c r="J69" s="280" t="s">
        <v>570</v>
      </c>
    </row>
    <row r="70" spans="1:10" ht="15.95" customHeight="1">
      <c r="A70" s="309"/>
      <c r="B70" s="163" t="s">
        <v>285</v>
      </c>
      <c r="C70" s="311"/>
      <c r="D70" s="163"/>
      <c r="E70" s="163" t="s">
        <v>212</v>
      </c>
      <c r="F70" s="160">
        <v>4</v>
      </c>
      <c r="G70" s="160"/>
      <c r="H70" s="160"/>
      <c r="I70" s="160"/>
      <c r="J70" s="163" t="s">
        <v>111</v>
      </c>
    </row>
    <row r="71" spans="1:10" ht="15.95" customHeight="1">
      <c r="A71" s="161"/>
      <c r="B71" s="164"/>
      <c r="C71" s="164"/>
      <c r="D71" s="164"/>
      <c r="E71" s="164"/>
      <c r="F71" s="161"/>
      <c r="G71" s="161"/>
      <c r="H71" s="161"/>
      <c r="I71" s="161"/>
      <c r="J71" s="164" t="s">
        <v>448</v>
      </c>
    </row>
    <row r="72" spans="1:10" ht="15.95" customHeight="1">
      <c r="A72" s="306">
        <v>29</v>
      </c>
      <c r="B72" s="49" t="s">
        <v>286</v>
      </c>
      <c r="C72" s="307" t="s">
        <v>124</v>
      </c>
      <c r="D72" s="307" t="s">
        <v>287</v>
      </c>
      <c r="E72" s="49" t="s">
        <v>36</v>
      </c>
      <c r="F72" s="45">
        <v>5</v>
      </c>
      <c r="G72" s="45"/>
      <c r="H72" s="45"/>
      <c r="I72" s="45">
        <f>SUM(F72:H74)</f>
        <v>17</v>
      </c>
      <c r="J72" s="163" t="s">
        <v>447</v>
      </c>
    </row>
    <row r="73" spans="1:10" ht="15.95" customHeight="1">
      <c r="A73" s="306"/>
      <c r="B73" s="51" t="s">
        <v>288</v>
      </c>
      <c r="C73" s="307"/>
      <c r="D73" s="307"/>
      <c r="E73" s="51" t="s">
        <v>289</v>
      </c>
      <c r="F73" s="46"/>
      <c r="G73" s="46">
        <v>6</v>
      </c>
      <c r="H73" s="46"/>
      <c r="I73" s="46"/>
      <c r="J73" s="280" t="s">
        <v>571</v>
      </c>
    </row>
    <row r="74" spans="1:10" ht="15.95" customHeight="1">
      <c r="A74" s="306"/>
      <c r="B74" s="52"/>
      <c r="C74" s="307"/>
      <c r="D74" s="307"/>
      <c r="E74" s="281" t="s">
        <v>55</v>
      </c>
      <c r="F74" s="48"/>
      <c r="G74" s="48">
        <v>6</v>
      </c>
      <c r="H74" s="48"/>
      <c r="I74" s="48"/>
      <c r="J74" s="281" t="s">
        <v>448</v>
      </c>
    </row>
    <row r="75" spans="1:10" ht="15.95" customHeight="1">
      <c r="A75" s="306">
        <v>30</v>
      </c>
      <c r="B75" s="49" t="s">
        <v>290</v>
      </c>
      <c r="C75" s="307"/>
      <c r="D75" s="307" t="s">
        <v>261</v>
      </c>
      <c r="E75" s="307" t="s">
        <v>270</v>
      </c>
      <c r="F75" s="45"/>
      <c r="G75" s="45"/>
      <c r="H75" s="45"/>
      <c r="I75" s="45">
        <f>SUM(F75:H76)</f>
        <v>0</v>
      </c>
      <c r="J75" s="279" t="s">
        <v>111</v>
      </c>
    </row>
    <row r="76" spans="1:10" ht="15.95" customHeight="1">
      <c r="A76" s="306"/>
      <c r="B76" s="50" t="s">
        <v>291</v>
      </c>
      <c r="C76" s="307"/>
      <c r="D76" s="307"/>
      <c r="E76" s="307"/>
      <c r="F76" s="48"/>
      <c r="G76" s="48"/>
      <c r="H76" s="48"/>
      <c r="I76" s="48"/>
      <c r="J76" s="281" t="s">
        <v>448</v>
      </c>
    </row>
    <row r="77" spans="1:10" ht="15.95" customHeight="1">
      <c r="A77" s="306">
        <v>31</v>
      </c>
      <c r="B77" s="49" t="s">
        <v>292</v>
      </c>
      <c r="C77" s="307"/>
      <c r="D77" s="307" t="s">
        <v>293</v>
      </c>
      <c r="E77" s="279" t="s">
        <v>67</v>
      </c>
      <c r="F77" s="45"/>
      <c r="G77" s="45"/>
      <c r="H77" s="45"/>
      <c r="I77" s="45">
        <f t="shared" ref="I77" si="20">SUM(F77:H78)</f>
        <v>6</v>
      </c>
      <c r="J77" s="308" t="s">
        <v>155</v>
      </c>
    </row>
    <row r="78" spans="1:10" ht="15.95" customHeight="1">
      <c r="A78" s="306"/>
      <c r="B78" s="50" t="s">
        <v>291</v>
      </c>
      <c r="C78" s="307"/>
      <c r="D78" s="307"/>
      <c r="E78" s="281" t="s">
        <v>493</v>
      </c>
      <c r="F78" s="48">
        <v>6</v>
      </c>
      <c r="G78" s="48"/>
      <c r="H78" s="48"/>
      <c r="I78" s="48"/>
      <c r="J78" s="308"/>
    </row>
    <row r="79" spans="1:10" ht="15.95" customHeight="1">
      <c r="A79" s="306">
        <v>32</v>
      </c>
      <c r="B79" s="49" t="s">
        <v>294</v>
      </c>
      <c r="C79" s="307"/>
      <c r="D79" s="49" t="s">
        <v>254</v>
      </c>
      <c r="E79" s="307" t="s">
        <v>88</v>
      </c>
      <c r="F79" s="45"/>
      <c r="G79" s="45"/>
      <c r="H79" s="45"/>
      <c r="I79" s="45">
        <v>0</v>
      </c>
      <c r="J79" s="308" t="s">
        <v>155</v>
      </c>
    </row>
    <row r="80" spans="1:10" ht="15.95" customHeight="1">
      <c r="A80" s="306"/>
      <c r="B80" s="50" t="s">
        <v>291</v>
      </c>
      <c r="C80" s="307"/>
      <c r="D80" s="50" t="s">
        <v>88</v>
      </c>
      <c r="E80" s="307"/>
      <c r="F80" s="48"/>
      <c r="G80" s="48"/>
      <c r="H80" s="48"/>
      <c r="I80" s="48"/>
      <c r="J80" s="308"/>
    </row>
    <row r="81" spans="1:10" ht="15.95" customHeight="1">
      <c r="A81" s="306">
        <v>33</v>
      </c>
      <c r="B81" s="49" t="s">
        <v>295</v>
      </c>
      <c r="C81" s="307"/>
      <c r="D81" s="307" t="s">
        <v>296</v>
      </c>
      <c r="E81" s="307" t="s">
        <v>219</v>
      </c>
      <c r="F81" s="45">
        <v>4</v>
      </c>
      <c r="G81" s="45"/>
      <c r="H81" s="45"/>
      <c r="I81" s="45">
        <f t="shared" ref="I81" si="21">SUM(F81:H82)</f>
        <v>4</v>
      </c>
      <c r="J81" s="308" t="s">
        <v>155</v>
      </c>
    </row>
    <row r="82" spans="1:10" ht="15.95" customHeight="1">
      <c r="A82" s="306"/>
      <c r="B82" s="50" t="s">
        <v>291</v>
      </c>
      <c r="C82" s="307"/>
      <c r="D82" s="307"/>
      <c r="E82" s="307"/>
      <c r="F82" s="48"/>
      <c r="G82" s="48"/>
      <c r="H82" s="48"/>
      <c r="I82" s="48"/>
      <c r="J82" s="308"/>
    </row>
    <row r="83" spans="1:10" ht="15.95" customHeight="1">
      <c r="A83" s="306">
        <v>34</v>
      </c>
      <c r="B83" s="49" t="s">
        <v>297</v>
      </c>
      <c r="C83" s="307"/>
      <c r="D83" s="307" t="s">
        <v>298</v>
      </c>
      <c r="E83" s="307" t="s">
        <v>226</v>
      </c>
      <c r="F83" s="159">
        <v>6</v>
      </c>
      <c r="G83" s="45"/>
      <c r="H83" s="45"/>
      <c r="I83" s="159">
        <v>6</v>
      </c>
      <c r="J83" s="308" t="s">
        <v>155</v>
      </c>
    </row>
    <row r="84" spans="1:10" ht="15.95" customHeight="1">
      <c r="A84" s="306"/>
      <c r="B84" s="50" t="s">
        <v>291</v>
      </c>
      <c r="C84" s="307"/>
      <c r="D84" s="307"/>
      <c r="E84" s="307"/>
      <c r="F84" s="48"/>
      <c r="G84" s="48"/>
      <c r="H84" s="48"/>
      <c r="I84" s="48"/>
      <c r="J84" s="308"/>
    </row>
    <row r="85" spans="1:10" ht="15.95" customHeight="1">
      <c r="A85" s="306">
        <v>35</v>
      </c>
      <c r="B85" s="49" t="s">
        <v>299</v>
      </c>
      <c r="C85" s="307"/>
      <c r="D85" s="307" t="s">
        <v>300</v>
      </c>
      <c r="E85" s="49" t="s">
        <v>212</v>
      </c>
      <c r="F85" s="45">
        <v>8</v>
      </c>
      <c r="G85" s="45"/>
      <c r="H85" s="45"/>
      <c r="I85" s="45">
        <f t="shared" ref="I85" si="22">SUM(F85:H86)</f>
        <v>8</v>
      </c>
      <c r="J85" s="308" t="s">
        <v>155</v>
      </c>
    </row>
    <row r="86" spans="1:10" ht="15.95" customHeight="1">
      <c r="A86" s="306"/>
      <c r="B86" s="50" t="s">
        <v>291</v>
      </c>
      <c r="C86" s="307"/>
      <c r="D86" s="307"/>
      <c r="E86" s="50"/>
      <c r="F86" s="48"/>
      <c r="G86" s="48"/>
      <c r="H86" s="158"/>
      <c r="I86" s="158"/>
      <c r="J86" s="308"/>
    </row>
    <row r="87" spans="1:10" ht="15.95" customHeight="1">
      <c r="A87" s="306">
        <v>36</v>
      </c>
      <c r="B87" s="49" t="s">
        <v>301</v>
      </c>
      <c r="C87" s="307"/>
      <c r="D87" s="307" t="s">
        <v>265</v>
      </c>
      <c r="E87" s="307" t="s">
        <v>195</v>
      </c>
      <c r="F87" s="45">
        <v>8</v>
      </c>
      <c r="G87" s="45"/>
      <c r="H87" s="45"/>
      <c r="I87" s="45">
        <f t="shared" ref="I87" si="23">SUM(F87:H88)</f>
        <v>8</v>
      </c>
      <c r="J87" s="308" t="s">
        <v>155</v>
      </c>
    </row>
    <row r="88" spans="1:10" ht="15.95" customHeight="1">
      <c r="A88" s="306"/>
      <c r="B88" s="50" t="s">
        <v>291</v>
      </c>
      <c r="C88" s="307"/>
      <c r="D88" s="307"/>
      <c r="E88" s="307"/>
      <c r="F88" s="48"/>
      <c r="G88" s="48"/>
      <c r="H88" s="48"/>
      <c r="I88" s="48"/>
      <c r="J88" s="308"/>
    </row>
    <row r="89" spans="1:10" ht="15.95" customHeight="1">
      <c r="A89" s="306">
        <v>37</v>
      </c>
      <c r="B89" s="49" t="s">
        <v>302</v>
      </c>
      <c r="C89" s="307"/>
      <c r="D89" s="307" t="s">
        <v>258</v>
      </c>
      <c r="E89" s="82" t="s">
        <v>36</v>
      </c>
      <c r="F89" s="45">
        <v>8</v>
      </c>
      <c r="G89" s="45"/>
      <c r="H89" s="45"/>
      <c r="I89" s="45">
        <f t="shared" ref="I89" si="24">SUM(F89:H90)</f>
        <v>8</v>
      </c>
      <c r="J89" s="279" t="s">
        <v>155</v>
      </c>
    </row>
    <row r="90" spans="1:10" ht="15.95" customHeight="1">
      <c r="A90" s="306"/>
      <c r="B90" s="50" t="s">
        <v>291</v>
      </c>
      <c r="C90" s="307"/>
      <c r="D90" s="307"/>
      <c r="E90" s="83"/>
      <c r="F90" s="48"/>
      <c r="G90" s="48"/>
      <c r="H90" s="158"/>
      <c r="I90" s="158"/>
      <c r="J90" s="281" t="s">
        <v>448</v>
      </c>
    </row>
    <row r="91" spans="1:10" ht="15.95" customHeight="1">
      <c r="A91" s="306">
        <v>38</v>
      </c>
      <c r="B91" s="49" t="s">
        <v>303</v>
      </c>
      <c r="C91" s="307"/>
      <c r="D91" s="307" t="s">
        <v>272</v>
      </c>
      <c r="E91" s="162" t="s">
        <v>67</v>
      </c>
      <c r="F91" s="45"/>
      <c r="G91" s="45">
        <v>6</v>
      </c>
      <c r="H91" s="45"/>
      <c r="I91" s="45">
        <f>SUM(F91:H92)</f>
        <v>6</v>
      </c>
      <c r="J91" s="308" t="s">
        <v>155</v>
      </c>
    </row>
    <row r="92" spans="1:10" ht="15.95" customHeight="1">
      <c r="A92" s="306"/>
      <c r="B92" s="50" t="s">
        <v>291</v>
      </c>
      <c r="C92" s="307"/>
      <c r="D92" s="307"/>
      <c r="E92" s="164"/>
      <c r="F92" s="48"/>
      <c r="G92" s="48"/>
      <c r="H92" s="48"/>
      <c r="I92" s="48"/>
      <c r="J92" s="308"/>
    </row>
    <row r="93" spans="1:10" ht="15.95" customHeight="1">
      <c r="A93" s="45">
        <v>39</v>
      </c>
      <c r="B93" s="49" t="s">
        <v>304</v>
      </c>
      <c r="C93" s="49"/>
      <c r="D93" s="49" t="s">
        <v>305</v>
      </c>
      <c r="E93" s="49" t="s">
        <v>195</v>
      </c>
      <c r="F93" s="45">
        <v>4</v>
      </c>
      <c r="G93" s="45"/>
      <c r="H93" s="45"/>
      <c r="I93" s="45">
        <f t="shared" ref="I93" si="25">SUM(F93:H94)</f>
        <v>4</v>
      </c>
      <c r="J93" s="282" t="s">
        <v>155</v>
      </c>
    </row>
    <row r="94" spans="1:10" ht="15.95" customHeight="1">
      <c r="A94" s="50"/>
      <c r="B94" s="50"/>
      <c r="C94" s="50"/>
      <c r="D94" s="50"/>
      <c r="E94" s="50"/>
      <c r="F94" s="48"/>
      <c r="G94" s="48"/>
      <c r="H94" s="48"/>
      <c r="I94" s="48"/>
      <c r="J94" s="283"/>
    </row>
    <row r="95" spans="1:10" ht="15.95" customHeight="1">
      <c r="A95" s="306" t="s">
        <v>306</v>
      </c>
      <c r="B95" s="306"/>
      <c r="C95" s="306"/>
      <c r="D95" s="306"/>
      <c r="E95" s="306"/>
      <c r="F95" s="309">
        <f>SUM(F11:F94)</f>
        <v>250</v>
      </c>
      <c r="G95" s="309">
        <f t="shared" ref="G95" si="26">SUM(G11:G94)</f>
        <v>195</v>
      </c>
      <c r="H95" s="309">
        <v>252</v>
      </c>
      <c r="I95" s="309">
        <f>SUM(F95:H95)</f>
        <v>697</v>
      </c>
      <c r="J95" s="282"/>
    </row>
    <row r="96" spans="1:10" ht="15.95" customHeight="1">
      <c r="A96" s="306"/>
      <c r="B96" s="306"/>
      <c r="C96" s="306"/>
      <c r="D96" s="306"/>
      <c r="E96" s="306"/>
      <c r="F96" s="310"/>
      <c r="G96" s="310"/>
      <c r="H96" s="310"/>
      <c r="I96" s="310"/>
      <c r="J96" s="283"/>
    </row>
    <row r="97" spans="1:10" ht="15.95" customHeight="1">
      <c r="A97" s="53"/>
      <c r="B97" s="54"/>
      <c r="C97" s="54"/>
      <c r="D97" s="54"/>
      <c r="E97" s="54"/>
      <c r="F97" s="54"/>
      <c r="G97" s="54"/>
      <c r="H97" s="54"/>
      <c r="I97" s="54"/>
      <c r="J97" s="54"/>
    </row>
    <row r="98" spans="1:10" ht="15.95" customHeight="1">
      <c r="B98" s="54"/>
      <c r="C98" s="54"/>
      <c r="D98" s="54"/>
      <c r="E98" s="54"/>
      <c r="F98" s="55" t="s">
        <v>177</v>
      </c>
      <c r="G98" s="54"/>
      <c r="H98" s="54"/>
      <c r="I98" s="54"/>
      <c r="J98" s="54"/>
    </row>
    <row r="99" spans="1:10" ht="15.95" customHeight="1">
      <c r="A99" s="56"/>
      <c r="B99" s="54"/>
      <c r="C99" s="54"/>
      <c r="D99" s="54"/>
      <c r="E99" s="54"/>
      <c r="F99" s="54"/>
      <c r="G99" s="54"/>
      <c r="H99" s="54"/>
      <c r="I99" s="54"/>
      <c r="J99" s="54"/>
    </row>
    <row r="100" spans="1:10" ht="15.95" customHeight="1">
      <c r="A100" s="56"/>
      <c r="B100" s="54"/>
      <c r="C100" s="54"/>
      <c r="D100" s="54"/>
      <c r="E100" s="54"/>
      <c r="F100" s="54"/>
      <c r="G100" s="54"/>
      <c r="H100" s="54"/>
      <c r="I100" s="54"/>
      <c r="J100" s="54"/>
    </row>
    <row r="101" spans="1:10" ht="15.95" customHeight="1">
      <c r="A101" s="54"/>
      <c r="B101" s="54"/>
      <c r="C101" s="54"/>
      <c r="D101" s="54"/>
      <c r="E101" s="54"/>
      <c r="F101" s="56" t="s">
        <v>307</v>
      </c>
      <c r="G101" s="54"/>
      <c r="H101" s="54"/>
      <c r="I101" s="54"/>
    </row>
    <row r="102" spans="1:10" ht="15.95" customHeight="1">
      <c r="F102" s="42" t="s">
        <v>179</v>
      </c>
    </row>
    <row r="103" spans="1:10" ht="15.95" customHeight="1">
      <c r="F103" s="42" t="s">
        <v>308</v>
      </c>
    </row>
    <row r="104" spans="1:10" ht="15.95" customHeight="1">
      <c r="A104" s="42"/>
    </row>
  </sheetData>
  <mergeCells count="159">
    <mergeCell ref="J21:J22"/>
    <mergeCell ref="A19:A20"/>
    <mergeCell ref="C19:C20"/>
    <mergeCell ref="D19:D20"/>
    <mergeCell ref="J19:J20"/>
    <mergeCell ref="I8:I10"/>
    <mergeCell ref="J8:J10"/>
    <mergeCell ref="A11:A12"/>
    <mergeCell ref="C11:C12"/>
    <mergeCell ref="D11:D12"/>
    <mergeCell ref="E11:E12"/>
    <mergeCell ref="J11:J12"/>
    <mergeCell ref="A8:A10"/>
    <mergeCell ref="B8:B10"/>
    <mergeCell ref="C8:C10"/>
    <mergeCell ref="D8:D10"/>
    <mergeCell ref="E8:E10"/>
    <mergeCell ref="F8:H9"/>
    <mergeCell ref="A13:A14"/>
    <mergeCell ref="C13:C14"/>
    <mergeCell ref="D13:D14"/>
    <mergeCell ref="A15:A16"/>
    <mergeCell ref="C15:C16"/>
    <mergeCell ref="D15:D16"/>
    <mergeCell ref="E15:E16"/>
    <mergeCell ref="A21:A22"/>
    <mergeCell ref="C21:C22"/>
    <mergeCell ref="D21:D22"/>
    <mergeCell ref="E21:E22"/>
    <mergeCell ref="A27:A28"/>
    <mergeCell ref="C27:C28"/>
    <mergeCell ref="D27:D28"/>
    <mergeCell ref="E27:E28"/>
    <mergeCell ref="A23:A24"/>
    <mergeCell ref="C23:C24"/>
    <mergeCell ref="D23:D24"/>
    <mergeCell ref="J23:J24"/>
    <mergeCell ref="A25:A26"/>
    <mergeCell ref="C25:C26"/>
    <mergeCell ref="D25:D26"/>
    <mergeCell ref="J25:J26"/>
    <mergeCell ref="A31:A32"/>
    <mergeCell ref="C31:C32"/>
    <mergeCell ref="D31:D32"/>
    <mergeCell ref="E31:E32"/>
    <mergeCell ref="J31:J32"/>
    <mergeCell ref="A29:A30"/>
    <mergeCell ref="C29:C30"/>
    <mergeCell ref="D29:D30"/>
    <mergeCell ref="J29:J30"/>
    <mergeCell ref="A37:A38"/>
    <mergeCell ref="C37:C38"/>
    <mergeCell ref="D37:D38"/>
    <mergeCell ref="A33:A34"/>
    <mergeCell ref="C33:C34"/>
    <mergeCell ref="D33:D34"/>
    <mergeCell ref="J33:J34"/>
    <mergeCell ref="A35:A36"/>
    <mergeCell ref="C35:C36"/>
    <mergeCell ref="D35:D36"/>
    <mergeCell ref="J35:J36"/>
    <mergeCell ref="A39:A40"/>
    <mergeCell ref="C39:C40"/>
    <mergeCell ref="A41:A42"/>
    <mergeCell ref="C41:C42"/>
    <mergeCell ref="D41:D42"/>
    <mergeCell ref="E41:E42"/>
    <mergeCell ref="J41:J42"/>
    <mergeCell ref="A45:A46"/>
    <mergeCell ref="C45:C46"/>
    <mergeCell ref="D45:D46"/>
    <mergeCell ref="E45:E46"/>
    <mergeCell ref="A43:A44"/>
    <mergeCell ref="C43:C44"/>
    <mergeCell ref="D43:D44"/>
    <mergeCell ref="E43:E44"/>
    <mergeCell ref="J43:J44"/>
    <mergeCell ref="A48:A49"/>
    <mergeCell ref="C48:C49"/>
    <mergeCell ref="D48:D49"/>
    <mergeCell ref="J48:J49"/>
    <mergeCell ref="A50:A51"/>
    <mergeCell ref="C50:C51"/>
    <mergeCell ref="D50:D51"/>
    <mergeCell ref="E50:E51"/>
    <mergeCell ref="J50:J51"/>
    <mergeCell ref="A56:A57"/>
    <mergeCell ref="C56:C57"/>
    <mergeCell ref="D56:D57"/>
    <mergeCell ref="E56:E57"/>
    <mergeCell ref="A54:A55"/>
    <mergeCell ref="C54:C55"/>
    <mergeCell ref="D54:D55"/>
    <mergeCell ref="E54:E55"/>
    <mergeCell ref="A52:A53"/>
    <mergeCell ref="C52:C53"/>
    <mergeCell ref="E52:E53"/>
    <mergeCell ref="A60:A61"/>
    <mergeCell ref="C60:C61"/>
    <mergeCell ref="D60:D61"/>
    <mergeCell ref="A62:A63"/>
    <mergeCell ref="C62:C63"/>
    <mergeCell ref="J62:J63"/>
    <mergeCell ref="A58:A59"/>
    <mergeCell ref="C58:C59"/>
    <mergeCell ref="D58:D59"/>
    <mergeCell ref="E58:E59"/>
    <mergeCell ref="A77:A78"/>
    <mergeCell ref="C77:C78"/>
    <mergeCell ref="D77:D78"/>
    <mergeCell ref="J77:J78"/>
    <mergeCell ref="A75:A76"/>
    <mergeCell ref="C75:C76"/>
    <mergeCell ref="D75:D76"/>
    <mergeCell ref="E75:E76"/>
    <mergeCell ref="A64:A65"/>
    <mergeCell ref="C64:C65"/>
    <mergeCell ref="A66:A67"/>
    <mergeCell ref="C66:C67"/>
    <mergeCell ref="A69:A70"/>
    <mergeCell ref="C69:C70"/>
    <mergeCell ref="A72:A74"/>
    <mergeCell ref="C72:C74"/>
    <mergeCell ref="D72:D74"/>
    <mergeCell ref="A83:A84"/>
    <mergeCell ref="C83:C84"/>
    <mergeCell ref="D83:D84"/>
    <mergeCell ref="E83:E84"/>
    <mergeCell ref="J83:J84"/>
    <mergeCell ref="A79:A80"/>
    <mergeCell ref="C79:C80"/>
    <mergeCell ref="E79:E80"/>
    <mergeCell ref="J79:J80"/>
    <mergeCell ref="A81:A82"/>
    <mergeCell ref="C81:C82"/>
    <mergeCell ref="D81:D82"/>
    <mergeCell ref="E81:E82"/>
    <mergeCell ref="J81:J82"/>
    <mergeCell ref="A85:A86"/>
    <mergeCell ref="C85:C86"/>
    <mergeCell ref="D85:D86"/>
    <mergeCell ref="J85:J86"/>
    <mergeCell ref="A87:A88"/>
    <mergeCell ref="C87:C88"/>
    <mergeCell ref="D87:D88"/>
    <mergeCell ref="E87:E88"/>
    <mergeCell ref="J87:J88"/>
    <mergeCell ref="A95:E96"/>
    <mergeCell ref="A91:A92"/>
    <mergeCell ref="C91:C92"/>
    <mergeCell ref="D91:D92"/>
    <mergeCell ref="J91:J92"/>
    <mergeCell ref="A89:A90"/>
    <mergeCell ref="C89:C90"/>
    <mergeCell ref="D89:D90"/>
    <mergeCell ref="F95:F96"/>
    <mergeCell ref="G95:G96"/>
    <mergeCell ref="H95:H96"/>
    <mergeCell ref="I95:I96"/>
  </mergeCells>
  <pageMargins left="1.0900000000000001" right="0.47244094488188981" top="0.62992125984251968" bottom="1.83" header="0.31496062992125984" footer="0.31496062992125984"/>
  <pageSetup paperSize="5"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3"/>
  <sheetViews>
    <sheetView view="pageBreakPreview" topLeftCell="A7" zoomScaleSheetLayoutView="100" workbookViewId="0">
      <selection activeCell="E12" sqref="E12"/>
    </sheetView>
  </sheetViews>
  <sheetFormatPr defaultRowHeight="15"/>
  <cols>
    <col min="1" max="1" width="6.140625" customWidth="1"/>
    <col min="2" max="2" width="29.140625" customWidth="1"/>
    <col min="3" max="3" width="7.28515625" customWidth="1"/>
    <col min="4" max="4" width="7.5703125" customWidth="1"/>
    <col min="5" max="5" width="6.28515625" customWidth="1"/>
    <col min="6" max="6" width="6.5703125" customWidth="1"/>
    <col min="7" max="7" width="7.5703125" customWidth="1"/>
    <col min="8" max="8" width="8.140625" customWidth="1"/>
  </cols>
  <sheetData>
    <row r="1" spans="1:8" ht="24.95" customHeight="1">
      <c r="A1" s="327" t="s">
        <v>327</v>
      </c>
      <c r="B1" s="327"/>
      <c r="C1" s="327"/>
      <c r="D1" s="327"/>
      <c r="E1" s="327"/>
      <c r="F1" s="327"/>
      <c r="G1" s="327"/>
      <c r="H1" s="327"/>
    </row>
    <row r="2" spans="1:8" ht="24.95" customHeight="1">
      <c r="A2" s="327" t="s">
        <v>323</v>
      </c>
      <c r="B2" s="327"/>
      <c r="C2" s="327"/>
      <c r="D2" s="327"/>
      <c r="E2" s="327"/>
      <c r="F2" s="327"/>
      <c r="G2" s="327"/>
      <c r="H2" s="327"/>
    </row>
    <row r="3" spans="1:8" ht="24.95" customHeight="1">
      <c r="A3" s="328" t="s">
        <v>467</v>
      </c>
      <c r="B3" s="328"/>
      <c r="C3" s="328"/>
      <c r="D3" s="328"/>
      <c r="E3" s="328"/>
      <c r="F3" s="328"/>
      <c r="G3" s="328"/>
      <c r="H3" s="328"/>
    </row>
    <row r="4" spans="1:8" ht="24.95" customHeight="1"/>
    <row r="5" spans="1:8" ht="24.95" customHeight="1">
      <c r="A5" s="329" t="s">
        <v>4</v>
      </c>
      <c r="B5" s="329" t="s">
        <v>324</v>
      </c>
      <c r="C5" s="331" t="s">
        <v>322</v>
      </c>
      <c r="D5" s="332"/>
      <c r="E5" s="332"/>
      <c r="F5" s="332"/>
      <c r="G5" s="332"/>
      <c r="H5" s="333"/>
    </row>
    <row r="6" spans="1:8" ht="24.95" customHeight="1">
      <c r="A6" s="330"/>
      <c r="B6" s="330"/>
      <c r="C6" s="331" t="s">
        <v>428</v>
      </c>
      <c r="D6" s="333"/>
      <c r="E6" s="331" t="s">
        <v>429</v>
      </c>
      <c r="F6" s="333"/>
      <c r="G6" s="331" t="s">
        <v>430</v>
      </c>
      <c r="H6" s="333"/>
    </row>
    <row r="7" spans="1:8" ht="24.95" customHeight="1">
      <c r="A7" s="95">
        <v>1</v>
      </c>
      <c r="B7" s="96" t="s">
        <v>317</v>
      </c>
      <c r="C7" s="97">
        <v>2</v>
      </c>
      <c r="D7" s="98" t="s">
        <v>326</v>
      </c>
      <c r="E7" s="97">
        <v>2</v>
      </c>
      <c r="F7" s="98" t="s">
        <v>326</v>
      </c>
      <c r="G7" s="97">
        <v>2</v>
      </c>
      <c r="H7" s="98" t="s">
        <v>326</v>
      </c>
    </row>
    <row r="8" spans="1:8" ht="24.95" customHeight="1">
      <c r="A8" s="95">
        <v>2</v>
      </c>
      <c r="B8" s="96" t="s">
        <v>318</v>
      </c>
      <c r="C8" s="97">
        <v>2</v>
      </c>
      <c r="D8" s="98" t="s">
        <v>326</v>
      </c>
      <c r="E8" s="97">
        <v>2</v>
      </c>
      <c r="F8" s="98" t="s">
        <v>326</v>
      </c>
      <c r="G8" s="97">
        <v>2</v>
      </c>
      <c r="H8" s="98" t="s">
        <v>326</v>
      </c>
    </row>
    <row r="9" spans="1:8" ht="24.95" customHeight="1">
      <c r="A9" s="95">
        <v>3</v>
      </c>
      <c r="B9" s="96" t="s">
        <v>319</v>
      </c>
      <c r="C9" s="97">
        <v>4</v>
      </c>
      <c r="D9" s="98" t="s">
        <v>326</v>
      </c>
      <c r="E9" s="97">
        <v>4</v>
      </c>
      <c r="F9" s="98" t="s">
        <v>326</v>
      </c>
      <c r="G9" s="97">
        <v>4</v>
      </c>
      <c r="H9" s="98" t="s">
        <v>326</v>
      </c>
    </row>
    <row r="10" spans="1:8" ht="24.95" customHeight="1">
      <c r="A10" s="95">
        <v>4</v>
      </c>
      <c r="B10" s="96" t="s">
        <v>31</v>
      </c>
      <c r="C10" s="97">
        <v>4</v>
      </c>
      <c r="D10" s="98" t="s">
        <v>326</v>
      </c>
      <c r="E10" s="97">
        <v>4</v>
      </c>
      <c r="F10" s="98" t="s">
        <v>326</v>
      </c>
      <c r="G10" s="97">
        <v>4</v>
      </c>
      <c r="H10" s="98" t="s">
        <v>326</v>
      </c>
    </row>
    <row r="11" spans="1:8" ht="24.95" customHeight="1">
      <c r="A11" s="95">
        <v>5</v>
      </c>
      <c r="B11" s="96" t="s">
        <v>62</v>
      </c>
      <c r="C11" s="97">
        <v>4</v>
      </c>
      <c r="D11" s="98" t="s">
        <v>326</v>
      </c>
      <c r="E11" s="97">
        <v>4</v>
      </c>
      <c r="F11" s="98" t="s">
        <v>326</v>
      </c>
      <c r="G11" s="97">
        <v>4</v>
      </c>
      <c r="H11" s="98" t="s">
        <v>326</v>
      </c>
    </row>
    <row r="12" spans="1:8" ht="24.95" customHeight="1">
      <c r="A12" s="95">
        <v>6</v>
      </c>
      <c r="B12" s="96" t="s">
        <v>36</v>
      </c>
      <c r="C12" s="97">
        <v>5</v>
      </c>
      <c r="D12" s="98" t="s">
        <v>326</v>
      </c>
      <c r="E12" s="97">
        <v>5</v>
      </c>
      <c r="F12" s="98" t="s">
        <v>326</v>
      </c>
      <c r="G12" s="97">
        <v>5</v>
      </c>
      <c r="H12" s="98" t="s">
        <v>326</v>
      </c>
    </row>
    <row r="13" spans="1:8" ht="24.95" customHeight="1">
      <c r="A13" s="95">
        <v>7</v>
      </c>
      <c r="B13" s="96" t="s">
        <v>41</v>
      </c>
      <c r="C13" s="97">
        <v>4</v>
      </c>
      <c r="D13" s="98" t="s">
        <v>326</v>
      </c>
      <c r="E13" s="97">
        <v>4</v>
      </c>
      <c r="F13" s="98" t="s">
        <v>326</v>
      </c>
      <c r="G13" s="97">
        <v>4</v>
      </c>
      <c r="H13" s="98" t="s">
        <v>326</v>
      </c>
    </row>
    <row r="14" spans="1:8" ht="24.95" customHeight="1">
      <c r="A14" s="95">
        <v>8</v>
      </c>
      <c r="B14" s="96" t="s">
        <v>75</v>
      </c>
      <c r="C14" s="97">
        <v>2</v>
      </c>
      <c r="D14" s="98" t="s">
        <v>326</v>
      </c>
      <c r="E14" s="97">
        <v>2</v>
      </c>
      <c r="F14" s="98" t="s">
        <v>326</v>
      </c>
      <c r="G14" s="97">
        <v>2</v>
      </c>
      <c r="H14" s="98" t="s">
        <v>326</v>
      </c>
    </row>
    <row r="15" spans="1:8" ht="24.95" customHeight="1">
      <c r="A15" s="95">
        <v>9</v>
      </c>
      <c r="B15" s="96" t="s">
        <v>320</v>
      </c>
      <c r="C15" s="99">
        <v>2</v>
      </c>
      <c r="D15" s="98" t="s">
        <v>326</v>
      </c>
      <c r="E15" s="99">
        <v>2</v>
      </c>
      <c r="F15" s="98" t="s">
        <v>326</v>
      </c>
      <c r="G15" s="99">
        <v>2</v>
      </c>
      <c r="H15" s="98" t="s">
        <v>326</v>
      </c>
    </row>
    <row r="16" spans="1:8" ht="24.95" customHeight="1">
      <c r="A16" s="95">
        <v>10</v>
      </c>
      <c r="B16" s="96" t="s">
        <v>80</v>
      </c>
      <c r="C16" s="97">
        <v>2</v>
      </c>
      <c r="D16" s="98" t="s">
        <v>326</v>
      </c>
      <c r="E16" s="97">
        <v>2</v>
      </c>
      <c r="F16" s="98" t="s">
        <v>326</v>
      </c>
      <c r="G16" s="97">
        <v>2</v>
      </c>
      <c r="H16" s="98" t="s">
        <v>326</v>
      </c>
    </row>
    <row r="17" spans="1:8" ht="24.95" customHeight="1">
      <c r="A17" s="95">
        <v>11</v>
      </c>
      <c r="B17" s="96" t="s">
        <v>49</v>
      </c>
      <c r="C17" s="97">
        <v>2</v>
      </c>
      <c r="D17" s="98" t="s">
        <v>326</v>
      </c>
      <c r="E17" s="97">
        <v>2</v>
      </c>
      <c r="F17" s="98" t="s">
        <v>326</v>
      </c>
      <c r="G17" s="97">
        <v>2</v>
      </c>
      <c r="H17" s="98" t="s">
        <v>326</v>
      </c>
    </row>
    <row r="18" spans="1:8" ht="24.95" customHeight="1">
      <c r="A18" s="100">
        <v>12</v>
      </c>
      <c r="B18" s="101" t="s">
        <v>321</v>
      </c>
      <c r="C18" s="102">
        <v>2</v>
      </c>
      <c r="D18" s="103" t="s">
        <v>326</v>
      </c>
      <c r="E18" s="102">
        <v>2</v>
      </c>
      <c r="F18" s="103" t="s">
        <v>326</v>
      </c>
      <c r="G18" s="102">
        <v>2</v>
      </c>
      <c r="H18" s="103" t="s">
        <v>326</v>
      </c>
    </row>
    <row r="19" spans="1:8" ht="24.95" customHeight="1" thickBot="1">
      <c r="A19" s="100">
        <v>13</v>
      </c>
      <c r="B19" s="101" t="s">
        <v>466</v>
      </c>
      <c r="C19" s="102">
        <v>1</v>
      </c>
      <c r="D19" s="103" t="s">
        <v>326</v>
      </c>
      <c r="E19" s="102">
        <v>1</v>
      </c>
      <c r="F19" s="103" t="s">
        <v>326</v>
      </c>
      <c r="G19" s="102">
        <v>1</v>
      </c>
      <c r="H19" s="103" t="s">
        <v>326</v>
      </c>
    </row>
    <row r="20" spans="1:8" ht="24.95" customHeight="1">
      <c r="A20" s="323" t="s">
        <v>325</v>
      </c>
      <c r="B20" s="324"/>
      <c r="C20" s="104">
        <f>SUM(C7:C19)</f>
        <v>36</v>
      </c>
      <c r="D20" s="105" t="s">
        <v>326</v>
      </c>
      <c r="E20" s="104">
        <f>SUM(E7:E19)</f>
        <v>36</v>
      </c>
      <c r="F20" s="105" t="s">
        <v>326</v>
      </c>
      <c r="G20" s="104">
        <f>SUM(G7:G19)</f>
        <v>36</v>
      </c>
      <c r="H20" s="105" t="s">
        <v>326</v>
      </c>
    </row>
    <row r="21" spans="1:8" ht="24.95" customHeight="1"/>
    <row r="22" spans="1:8" ht="24.95" customHeight="1">
      <c r="E22" s="325" t="s">
        <v>177</v>
      </c>
      <c r="F22" s="325"/>
      <c r="G22" s="325"/>
      <c r="H22" s="325"/>
    </row>
    <row r="23" spans="1:8" ht="24.95" customHeight="1">
      <c r="E23" s="58"/>
    </row>
    <row r="24" spans="1:8" ht="24.95" customHeight="1">
      <c r="E24" s="58"/>
    </row>
    <row r="25" spans="1:8" ht="24.95" customHeight="1">
      <c r="E25" s="325" t="s">
        <v>307</v>
      </c>
      <c r="F25" s="325"/>
      <c r="G25" s="325"/>
      <c r="H25" s="325"/>
    </row>
    <row r="26" spans="1:8" ht="24.95" customHeight="1">
      <c r="E26" s="326" t="s">
        <v>179</v>
      </c>
      <c r="F26" s="326"/>
      <c r="G26" s="326"/>
      <c r="H26" s="326"/>
    </row>
    <row r="27" spans="1:8" ht="24.95" customHeight="1">
      <c r="E27" s="326" t="s">
        <v>308</v>
      </c>
      <c r="F27" s="326"/>
      <c r="G27" s="326"/>
      <c r="H27" s="326"/>
    </row>
    <row r="28" spans="1:8" ht="24.95" customHeight="1"/>
    <row r="29" spans="1:8" ht="24.95" customHeight="1"/>
    <row r="30" spans="1:8" ht="24.95" customHeight="1"/>
    <row r="31" spans="1:8" ht="24.95" customHeight="1"/>
    <row r="32" spans="1:8" ht="24.95" customHeight="1"/>
    <row r="33" ht="24.95" customHeight="1"/>
  </sheetData>
  <mergeCells count="14">
    <mergeCell ref="A1:H1"/>
    <mergeCell ref="A2:H2"/>
    <mergeCell ref="A3:H3"/>
    <mergeCell ref="A5:A6"/>
    <mergeCell ref="B5:B6"/>
    <mergeCell ref="C5:H5"/>
    <mergeCell ref="C6:D6"/>
    <mergeCell ref="E6:F6"/>
    <mergeCell ref="G6:H6"/>
    <mergeCell ref="A20:B20"/>
    <mergeCell ref="E22:H22"/>
    <mergeCell ref="E25:H25"/>
    <mergeCell ref="E26:H26"/>
    <mergeCell ref="E27:H27"/>
  </mergeCells>
  <pageMargins left="1.1399999999999999" right="0.7" top="1.26" bottom="0.75" header="0.3" footer="0.3"/>
  <pageSetup paperSize="5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2"/>
  <sheetViews>
    <sheetView topLeftCell="A19" zoomScale="120" zoomScaleNormal="120" workbookViewId="0">
      <selection activeCell="C42" sqref="C42"/>
    </sheetView>
  </sheetViews>
  <sheetFormatPr defaultRowHeight="15"/>
  <cols>
    <col min="1" max="1" width="5.140625" customWidth="1"/>
    <col min="2" max="2" width="9" customWidth="1"/>
    <col min="3" max="3" width="32.42578125" customWidth="1"/>
    <col min="4" max="4" width="11.5703125" customWidth="1"/>
  </cols>
  <sheetData>
    <row r="1" spans="1:8" ht="18.75">
      <c r="A1" s="334" t="s">
        <v>328</v>
      </c>
      <c r="B1" s="334"/>
      <c r="C1" s="334"/>
      <c r="D1" s="334"/>
    </row>
    <row r="2" spans="1:8" ht="18.75">
      <c r="A2" s="334" t="s">
        <v>329</v>
      </c>
      <c r="B2" s="334"/>
      <c r="C2" s="334"/>
      <c r="D2" s="334"/>
    </row>
    <row r="3" spans="1:8">
      <c r="A3" s="335" t="s">
        <v>470</v>
      </c>
      <c r="B3" s="335"/>
      <c r="C3" s="335"/>
      <c r="D3" s="335"/>
    </row>
    <row r="5" spans="1:8" ht="21.95" customHeight="1">
      <c r="A5" s="89" t="s">
        <v>4</v>
      </c>
      <c r="B5" s="89" t="s">
        <v>330</v>
      </c>
      <c r="C5" s="89" t="s">
        <v>331</v>
      </c>
      <c r="D5" s="89" t="s">
        <v>11</v>
      </c>
    </row>
    <row r="6" spans="1:8" ht="21.95" customHeight="1">
      <c r="A6" s="90">
        <v>1</v>
      </c>
      <c r="B6" s="91" t="s">
        <v>144</v>
      </c>
      <c r="C6" s="92" t="s">
        <v>506</v>
      </c>
      <c r="D6" s="93"/>
    </row>
    <row r="7" spans="1:8" ht="21.95" customHeight="1">
      <c r="A7" s="90">
        <v>2</v>
      </c>
      <c r="B7" s="90" t="s">
        <v>77</v>
      </c>
      <c r="C7" s="92" t="s">
        <v>482</v>
      </c>
      <c r="D7" s="93"/>
    </row>
    <row r="8" spans="1:8" ht="21.95" customHeight="1">
      <c r="A8" s="90">
        <v>3</v>
      </c>
      <c r="B8" s="90" t="s">
        <v>148</v>
      </c>
      <c r="C8" s="92" t="s">
        <v>334</v>
      </c>
      <c r="D8" s="93"/>
    </row>
    <row r="9" spans="1:8" ht="21.95" customHeight="1">
      <c r="A9" s="90">
        <v>4</v>
      </c>
      <c r="B9" s="90" t="s">
        <v>107</v>
      </c>
      <c r="C9" s="92" t="s">
        <v>44</v>
      </c>
      <c r="D9" s="93"/>
    </row>
    <row r="10" spans="1:8" ht="21.95" customHeight="1">
      <c r="A10" s="90">
        <v>5</v>
      </c>
      <c r="B10" s="90" t="s">
        <v>468</v>
      </c>
      <c r="C10" s="92" t="s">
        <v>150</v>
      </c>
      <c r="D10" s="93"/>
    </row>
    <row r="11" spans="1:8" ht="21.95" customHeight="1">
      <c r="A11" s="90">
        <v>6</v>
      </c>
      <c r="B11" s="90" t="s">
        <v>469</v>
      </c>
      <c r="C11" s="188" t="s">
        <v>574</v>
      </c>
      <c r="D11" s="93"/>
    </row>
    <row r="12" spans="1:8" ht="21.95" customHeight="1">
      <c r="A12" s="132"/>
      <c r="B12" s="132"/>
      <c r="C12" s="132"/>
      <c r="D12" s="93"/>
    </row>
    <row r="13" spans="1:8" ht="21.95" customHeight="1">
      <c r="A13" s="90">
        <v>7</v>
      </c>
      <c r="B13" s="90" t="s">
        <v>89</v>
      </c>
      <c r="C13" s="92" t="s">
        <v>573</v>
      </c>
      <c r="D13" s="93"/>
      <c r="F13" s="75"/>
      <c r="G13" s="75"/>
      <c r="H13" s="35"/>
    </row>
    <row r="14" spans="1:8" ht="21.95" customHeight="1">
      <c r="A14" s="90">
        <v>8</v>
      </c>
      <c r="B14" s="90" t="s">
        <v>130</v>
      </c>
      <c r="C14" s="92" t="s">
        <v>34</v>
      </c>
      <c r="D14" s="93"/>
      <c r="F14" s="110"/>
      <c r="G14" s="75"/>
      <c r="H14" s="75"/>
    </row>
    <row r="15" spans="1:8" ht="21.95" customHeight="1">
      <c r="A15" s="90">
        <v>9</v>
      </c>
      <c r="B15" s="90" t="s">
        <v>43</v>
      </c>
      <c r="C15" s="94" t="s">
        <v>87</v>
      </c>
      <c r="D15" s="93"/>
    </row>
    <row r="16" spans="1:8" ht="21.95" customHeight="1">
      <c r="A16" s="90">
        <v>10</v>
      </c>
      <c r="B16" s="90" t="s">
        <v>137</v>
      </c>
      <c r="C16" s="92" t="s">
        <v>508</v>
      </c>
      <c r="D16" s="93"/>
    </row>
    <row r="17" spans="1:4" ht="21.95" customHeight="1">
      <c r="A17" s="90">
        <v>11</v>
      </c>
      <c r="B17" s="90" t="s">
        <v>512</v>
      </c>
      <c r="C17" s="92" t="s">
        <v>507</v>
      </c>
      <c r="D17" s="93"/>
    </row>
    <row r="18" spans="1:4" ht="21.95" customHeight="1">
      <c r="A18" s="90"/>
      <c r="B18" s="90"/>
      <c r="C18" s="92"/>
      <c r="D18" s="93"/>
    </row>
    <row r="19" spans="1:4" ht="21.95" customHeight="1">
      <c r="A19" s="90">
        <v>11</v>
      </c>
      <c r="B19" s="90" t="s">
        <v>39</v>
      </c>
      <c r="C19" s="92" t="s">
        <v>509</v>
      </c>
      <c r="D19" s="93"/>
    </row>
    <row r="20" spans="1:4" ht="21.95" customHeight="1">
      <c r="A20" s="90">
        <v>12</v>
      </c>
      <c r="B20" s="90" t="s">
        <v>51</v>
      </c>
      <c r="C20" s="92" t="s">
        <v>572</v>
      </c>
      <c r="D20" s="93"/>
    </row>
    <row r="21" spans="1:4" ht="21.95" customHeight="1">
      <c r="A21" s="90">
        <v>13</v>
      </c>
      <c r="B21" s="90" t="s">
        <v>93</v>
      </c>
      <c r="C21" s="92" t="s">
        <v>40</v>
      </c>
      <c r="D21" s="93"/>
    </row>
    <row r="22" spans="1:4" ht="21.95" customHeight="1">
      <c r="A22" s="90">
        <v>14</v>
      </c>
      <c r="B22" s="90" t="s">
        <v>125</v>
      </c>
      <c r="C22" s="92" t="s">
        <v>333</v>
      </c>
      <c r="D22" s="93"/>
    </row>
    <row r="23" spans="1:4" ht="21.95" customHeight="1">
      <c r="A23" s="90">
        <v>15</v>
      </c>
      <c r="B23" s="90" t="s">
        <v>56</v>
      </c>
      <c r="C23" s="94" t="s">
        <v>109</v>
      </c>
      <c r="D23" s="93"/>
    </row>
    <row r="24" spans="1:4" ht="21.95" customHeight="1">
      <c r="A24" s="90">
        <v>16</v>
      </c>
      <c r="B24" s="90" t="s">
        <v>332</v>
      </c>
      <c r="C24" s="191" t="s">
        <v>48</v>
      </c>
      <c r="D24" s="93"/>
    </row>
    <row r="25" spans="1:4">
      <c r="C25" t="s">
        <v>510</v>
      </c>
    </row>
    <row r="26" spans="1:4" ht="15.75">
      <c r="C26" s="1" t="s">
        <v>478</v>
      </c>
    </row>
    <row r="27" spans="1:4" ht="15.75">
      <c r="C27" s="1" t="s">
        <v>177</v>
      </c>
    </row>
    <row r="28" spans="1:4" ht="15.75">
      <c r="C28" s="1"/>
    </row>
    <row r="29" spans="1:4" ht="15.75">
      <c r="C29" s="1"/>
    </row>
    <row r="30" spans="1:4" ht="15.75">
      <c r="C30" s="1" t="s">
        <v>178</v>
      </c>
    </row>
    <row r="31" spans="1:4" ht="15.75">
      <c r="C31" s="1" t="s">
        <v>179</v>
      </c>
    </row>
    <row r="32" spans="1:4" ht="15.75">
      <c r="C32" s="1" t="s">
        <v>180</v>
      </c>
    </row>
  </sheetData>
  <mergeCells count="3">
    <mergeCell ref="A1:D1"/>
    <mergeCell ref="A2:D2"/>
    <mergeCell ref="A3:D3"/>
  </mergeCells>
  <pageMargins left="1.68" right="0.7" top="0.92" bottom="0.75" header="0.3" footer="0.3"/>
  <pageSetup paperSize="5" orientation="portrait" horizontalDpi="4294967293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9"/>
  <sheetViews>
    <sheetView view="pageBreakPreview" topLeftCell="A19" zoomScaleNormal="120" zoomScaleSheetLayoutView="100" workbookViewId="0">
      <selection activeCell="C30" sqref="C29:C30"/>
    </sheetView>
  </sheetViews>
  <sheetFormatPr defaultRowHeight="15"/>
  <cols>
    <col min="1" max="1" width="4" customWidth="1"/>
    <col min="2" max="2" width="30.140625" customWidth="1"/>
    <col min="3" max="3" width="20.7109375" customWidth="1"/>
    <col min="4" max="4" width="20.42578125" customWidth="1"/>
    <col min="5" max="5" width="12.42578125" customWidth="1"/>
  </cols>
  <sheetData>
    <row r="1" spans="1:5">
      <c r="B1" s="150" t="s">
        <v>335</v>
      </c>
      <c r="C1" s="151" t="s">
        <v>182</v>
      </c>
      <c r="D1" s="152"/>
    </row>
    <row r="2" spans="1:5">
      <c r="B2" s="153"/>
      <c r="C2" s="154" t="s">
        <v>183</v>
      </c>
      <c r="D2" s="154" t="s">
        <v>471</v>
      </c>
    </row>
    <row r="3" spans="1:5">
      <c r="B3" s="153"/>
      <c r="C3" s="154" t="s">
        <v>184</v>
      </c>
      <c r="D3" s="154" t="s">
        <v>185</v>
      </c>
    </row>
    <row r="4" spans="1:5">
      <c r="B4" s="153"/>
      <c r="C4" s="154" t="s">
        <v>186</v>
      </c>
      <c r="D4" s="154" t="s">
        <v>479</v>
      </c>
    </row>
    <row r="5" spans="1:5" ht="5.25" customHeight="1">
      <c r="A5" s="42"/>
    </row>
    <row r="6" spans="1:5" ht="15.75">
      <c r="A6" s="340" t="s">
        <v>336</v>
      </c>
      <c r="B6" s="340"/>
      <c r="C6" s="340"/>
      <c r="D6" s="340"/>
      <c r="E6" s="340"/>
    </row>
    <row r="7" spans="1:5" ht="15.75">
      <c r="A7" s="340" t="s">
        <v>472</v>
      </c>
      <c r="B7" s="340"/>
      <c r="C7" s="340"/>
      <c r="D7" s="340"/>
      <c r="E7" s="340"/>
    </row>
    <row r="8" spans="1:5" ht="15.75">
      <c r="A8" s="67"/>
    </row>
    <row r="9" spans="1:5" ht="15.75">
      <c r="A9" s="73" t="s">
        <v>4</v>
      </c>
      <c r="B9" s="74" t="s">
        <v>187</v>
      </c>
      <c r="C9" s="74" t="s">
        <v>337</v>
      </c>
      <c r="D9" s="74" t="s">
        <v>338</v>
      </c>
      <c r="E9" s="224" t="s">
        <v>11</v>
      </c>
    </row>
    <row r="10" spans="1:5" ht="30.75" customHeight="1">
      <c r="A10" s="73">
        <v>1</v>
      </c>
      <c r="B10" s="73" t="s">
        <v>463</v>
      </c>
      <c r="C10" s="73" t="s">
        <v>339</v>
      </c>
      <c r="D10" s="74" t="s">
        <v>340</v>
      </c>
      <c r="E10" s="225"/>
    </row>
    <row r="11" spans="1:5" ht="31.5">
      <c r="A11" s="73">
        <v>2</v>
      </c>
      <c r="B11" s="73" t="s">
        <v>341</v>
      </c>
      <c r="C11" s="73" t="s">
        <v>342</v>
      </c>
      <c r="D11" s="74" t="s">
        <v>343</v>
      </c>
      <c r="E11" s="225"/>
    </row>
    <row r="12" spans="1:5" ht="31.5">
      <c r="A12" s="73">
        <v>3</v>
      </c>
      <c r="B12" s="73" t="s">
        <v>344</v>
      </c>
      <c r="C12" s="73" t="s">
        <v>575</v>
      </c>
      <c r="D12" s="74" t="s">
        <v>343</v>
      </c>
      <c r="E12" s="225"/>
    </row>
    <row r="13" spans="1:5" ht="47.25">
      <c r="A13" s="73">
        <v>4</v>
      </c>
      <c r="B13" s="73" t="s">
        <v>346</v>
      </c>
      <c r="C13" s="73" t="s">
        <v>342</v>
      </c>
      <c r="D13" s="74" t="s">
        <v>576</v>
      </c>
      <c r="E13" s="225"/>
    </row>
    <row r="14" spans="1:5" ht="63">
      <c r="A14" s="73">
        <v>5</v>
      </c>
      <c r="B14" s="73" t="s">
        <v>347</v>
      </c>
      <c r="C14" s="73" t="s">
        <v>339</v>
      </c>
      <c r="D14" s="74" t="s">
        <v>577</v>
      </c>
      <c r="E14" s="225"/>
    </row>
    <row r="15" spans="1:5" ht="31.5">
      <c r="A15" s="73">
        <v>6</v>
      </c>
      <c r="B15" s="73" t="s">
        <v>462</v>
      </c>
      <c r="C15" s="73" t="s">
        <v>339</v>
      </c>
      <c r="D15" s="74" t="s">
        <v>348</v>
      </c>
      <c r="E15" s="225"/>
    </row>
    <row r="16" spans="1:5" ht="17.25" customHeight="1">
      <c r="A16" s="176">
        <v>7</v>
      </c>
      <c r="B16" s="177" t="s">
        <v>460</v>
      </c>
      <c r="C16" s="176" t="s">
        <v>422</v>
      </c>
      <c r="D16" s="178" t="s">
        <v>349</v>
      </c>
      <c r="E16" s="226"/>
    </row>
    <row r="17" spans="1:6" ht="17.25" customHeight="1">
      <c r="A17" s="179"/>
      <c r="B17" s="180" t="s">
        <v>461</v>
      </c>
      <c r="C17" s="179"/>
      <c r="D17" s="181"/>
      <c r="E17" s="227"/>
    </row>
    <row r="18" spans="1:6" ht="17.25" customHeight="1">
      <c r="A18" s="179">
        <v>8</v>
      </c>
      <c r="B18" s="219" t="s">
        <v>425</v>
      </c>
      <c r="C18" s="192" t="s">
        <v>339</v>
      </c>
      <c r="D18" s="193" t="s">
        <v>350</v>
      </c>
      <c r="E18" s="227"/>
    </row>
    <row r="19" spans="1:6" ht="17.25" customHeight="1">
      <c r="A19" s="179">
        <v>9</v>
      </c>
      <c r="B19" s="219" t="s">
        <v>482</v>
      </c>
      <c r="C19" s="192" t="s">
        <v>422</v>
      </c>
      <c r="D19" s="193" t="s">
        <v>351</v>
      </c>
      <c r="E19" s="227"/>
    </row>
    <row r="20" spans="1:6" ht="17.25" customHeight="1">
      <c r="A20" s="179">
        <v>10</v>
      </c>
      <c r="B20" s="219" t="s">
        <v>334</v>
      </c>
      <c r="C20" s="192" t="s">
        <v>354</v>
      </c>
      <c r="D20" s="193" t="s">
        <v>352</v>
      </c>
      <c r="E20" s="227"/>
    </row>
    <row r="21" spans="1:6" ht="17.25" customHeight="1">
      <c r="A21" s="179">
        <v>11</v>
      </c>
      <c r="B21" s="219" t="s">
        <v>44</v>
      </c>
      <c r="C21" s="192" t="s">
        <v>354</v>
      </c>
      <c r="D21" s="193" t="s">
        <v>353</v>
      </c>
      <c r="E21" s="227"/>
    </row>
    <row r="22" spans="1:6" ht="17.25" customHeight="1">
      <c r="A22" s="179">
        <v>12</v>
      </c>
      <c r="B22" s="219" t="s">
        <v>578</v>
      </c>
      <c r="C22" s="192" t="s">
        <v>579</v>
      </c>
      <c r="D22" s="193" t="s">
        <v>485</v>
      </c>
      <c r="E22" s="227"/>
    </row>
    <row r="23" spans="1:6" ht="17.25" customHeight="1">
      <c r="A23" s="179">
        <v>13</v>
      </c>
      <c r="B23" s="220" t="s">
        <v>483</v>
      </c>
      <c r="C23" s="192" t="s">
        <v>579</v>
      </c>
      <c r="D23" s="193" t="s">
        <v>486</v>
      </c>
      <c r="E23" s="227"/>
    </row>
    <row r="24" spans="1:6" ht="17.25" customHeight="1">
      <c r="A24" s="179">
        <v>14</v>
      </c>
      <c r="B24" s="219" t="s">
        <v>484</v>
      </c>
      <c r="C24" s="192" t="s">
        <v>422</v>
      </c>
      <c r="D24" s="193" t="s">
        <v>355</v>
      </c>
      <c r="E24" s="227"/>
    </row>
    <row r="25" spans="1:6" ht="17.25" customHeight="1">
      <c r="A25" s="179">
        <v>15</v>
      </c>
      <c r="B25" s="219" t="s">
        <v>34</v>
      </c>
      <c r="C25" s="192" t="s">
        <v>339</v>
      </c>
      <c r="D25" s="193" t="s">
        <v>356</v>
      </c>
      <c r="E25" s="225"/>
      <c r="F25" s="35"/>
    </row>
    <row r="26" spans="1:6" ht="19.5" customHeight="1">
      <c r="A26" s="179">
        <v>16</v>
      </c>
      <c r="B26" s="219" t="s">
        <v>87</v>
      </c>
      <c r="C26" s="192" t="s">
        <v>354</v>
      </c>
      <c r="D26" s="193" t="s">
        <v>357</v>
      </c>
      <c r="E26" s="225"/>
      <c r="F26" s="35"/>
    </row>
    <row r="27" spans="1:6" ht="19.5" customHeight="1">
      <c r="A27" s="179">
        <v>17</v>
      </c>
      <c r="B27" s="219" t="s">
        <v>84</v>
      </c>
      <c r="C27" s="192" t="s">
        <v>354</v>
      </c>
      <c r="D27" s="193" t="s">
        <v>358</v>
      </c>
      <c r="E27" s="225"/>
      <c r="F27" s="35"/>
    </row>
    <row r="28" spans="1:6" ht="19.5" customHeight="1">
      <c r="A28" s="179">
        <v>18</v>
      </c>
      <c r="B28" s="221" t="s">
        <v>432</v>
      </c>
      <c r="C28" s="192" t="s">
        <v>354</v>
      </c>
      <c r="D28" s="193" t="s">
        <v>580</v>
      </c>
      <c r="E28" s="225"/>
      <c r="F28" s="35"/>
    </row>
    <row r="29" spans="1:6" ht="19.5" customHeight="1">
      <c r="A29" s="179">
        <v>19</v>
      </c>
      <c r="B29" s="219" t="s">
        <v>581</v>
      </c>
      <c r="C29" s="192" t="s">
        <v>579</v>
      </c>
      <c r="D29" s="193" t="s">
        <v>359</v>
      </c>
      <c r="E29" s="225"/>
      <c r="F29" s="35"/>
    </row>
    <row r="30" spans="1:6" ht="15.75">
      <c r="A30" s="179">
        <v>20</v>
      </c>
      <c r="B30" s="219" t="s">
        <v>487</v>
      </c>
      <c r="C30" s="192" t="s">
        <v>354</v>
      </c>
      <c r="D30" s="193" t="s">
        <v>360</v>
      </c>
      <c r="E30" s="225"/>
      <c r="F30" s="35"/>
    </row>
    <row r="31" spans="1:6" ht="15.75">
      <c r="A31" s="179">
        <v>21</v>
      </c>
      <c r="B31" s="219" t="s">
        <v>40</v>
      </c>
      <c r="C31" s="192" t="s">
        <v>354</v>
      </c>
      <c r="D31" s="193" t="s">
        <v>361</v>
      </c>
      <c r="E31" s="225"/>
      <c r="F31" s="35"/>
    </row>
    <row r="32" spans="1:6" ht="15.75">
      <c r="A32" s="179">
        <v>22</v>
      </c>
      <c r="B32" s="219" t="s">
        <v>333</v>
      </c>
      <c r="C32" s="192" t="s">
        <v>339</v>
      </c>
      <c r="D32" s="193" t="s">
        <v>362</v>
      </c>
      <c r="E32" s="225"/>
      <c r="F32" s="35"/>
    </row>
    <row r="33" spans="1:6" ht="15.75">
      <c r="A33" s="179">
        <v>23</v>
      </c>
      <c r="B33" s="219" t="s">
        <v>109</v>
      </c>
      <c r="C33" s="192" t="s">
        <v>354</v>
      </c>
      <c r="D33" s="193" t="s">
        <v>363</v>
      </c>
      <c r="E33" s="225"/>
      <c r="F33" s="35"/>
    </row>
    <row r="34" spans="1:6" ht="15.75" customHeight="1">
      <c r="A34" s="179">
        <v>24</v>
      </c>
      <c r="B34" s="222" t="s">
        <v>48</v>
      </c>
      <c r="C34" s="192" t="s">
        <v>339</v>
      </c>
      <c r="D34" s="193" t="s">
        <v>364</v>
      </c>
      <c r="E34" s="225"/>
      <c r="F34" s="35"/>
    </row>
    <row r="35" spans="1:6" ht="15.75">
      <c r="A35" s="42"/>
      <c r="B35" s="223"/>
      <c r="C35" s="42"/>
      <c r="E35" s="42"/>
      <c r="F35" s="75"/>
    </row>
    <row r="36" spans="1:6" ht="15.75">
      <c r="A36" s="42"/>
      <c r="B36" s="223"/>
      <c r="C36" s="42"/>
      <c r="E36" s="42"/>
      <c r="F36" s="75"/>
    </row>
    <row r="37" spans="1:6" ht="15.75">
      <c r="A37" s="42"/>
      <c r="B37" s="77"/>
      <c r="C37" s="42"/>
      <c r="D37" s="76" t="s">
        <v>196</v>
      </c>
      <c r="E37" s="42"/>
    </row>
    <row r="38" spans="1:6" ht="15.75">
      <c r="A38" s="42"/>
      <c r="B38" s="77"/>
      <c r="C38" s="42"/>
      <c r="D38" s="76"/>
      <c r="E38" s="42"/>
    </row>
    <row r="39" spans="1:6" ht="15.75">
      <c r="A39" s="42"/>
      <c r="B39" s="77"/>
      <c r="C39" s="42"/>
      <c r="D39" s="76"/>
      <c r="E39" s="42"/>
    </row>
    <row r="40" spans="1:6" ht="15.75">
      <c r="A40" s="42"/>
      <c r="B40" s="77"/>
      <c r="C40" s="42"/>
      <c r="D40" s="76" t="s">
        <v>307</v>
      </c>
      <c r="E40" s="42"/>
    </row>
    <row r="41" spans="1:6" ht="15.75">
      <c r="A41" s="42"/>
      <c r="B41" s="77"/>
      <c r="C41" s="42"/>
      <c r="D41" s="76" t="s">
        <v>179</v>
      </c>
      <c r="E41" s="42"/>
    </row>
    <row r="42" spans="1:6" ht="15.75">
      <c r="A42" s="42"/>
      <c r="B42" s="77"/>
      <c r="C42" s="42"/>
      <c r="D42" s="76" t="s">
        <v>308</v>
      </c>
      <c r="E42" s="42"/>
    </row>
    <row r="43" spans="1:6" ht="15.75">
      <c r="A43" s="42"/>
    </row>
    <row r="44" spans="1:6" ht="15.75">
      <c r="A44" s="42"/>
    </row>
    <row r="45" spans="1:6" ht="15.75">
      <c r="A45" s="42"/>
    </row>
    <row r="46" spans="1:6" ht="15.75">
      <c r="A46" s="42"/>
    </row>
    <row r="47" spans="1:6" ht="15.75">
      <c r="A47" s="42"/>
    </row>
    <row r="48" spans="1:6" ht="15.75">
      <c r="A48" s="42"/>
    </row>
    <row r="49" spans="1:4" ht="15.75">
      <c r="A49" s="66"/>
    </row>
    <row r="50" spans="1:4" ht="15.75">
      <c r="A50" s="66"/>
    </row>
    <row r="51" spans="1:4" ht="15.75">
      <c r="A51" s="66"/>
    </row>
    <row r="52" spans="1:4" ht="15.75">
      <c r="A52" s="66"/>
    </row>
    <row r="53" spans="1:4" ht="15.75">
      <c r="A53" s="66"/>
    </row>
    <row r="54" spans="1:4" ht="15.75">
      <c r="A54" s="66"/>
    </row>
    <row r="55" spans="1:4" ht="15.75">
      <c r="A55" s="66"/>
    </row>
    <row r="56" spans="1:4" ht="15.75">
      <c r="A56" s="66"/>
    </row>
    <row r="57" spans="1:4" ht="15.75">
      <c r="A57" s="66"/>
    </row>
    <row r="58" spans="1:4" ht="15.75">
      <c r="A58" s="66"/>
    </row>
    <row r="59" spans="1:4" ht="15.75">
      <c r="A59" s="66"/>
    </row>
    <row r="60" spans="1:4" ht="15.75">
      <c r="A60" s="66"/>
    </row>
    <row r="61" spans="1:4" ht="15.75">
      <c r="A61" s="66"/>
    </row>
    <row r="62" spans="1:4" ht="15.75">
      <c r="A62" s="66"/>
    </row>
    <row r="63" spans="1:4" ht="15.75" customHeight="1">
      <c r="C63" s="214" t="s">
        <v>368</v>
      </c>
      <c r="D63" s="77" t="s">
        <v>182</v>
      </c>
    </row>
    <row r="64" spans="1:4" ht="12" customHeight="1">
      <c r="B64" s="215"/>
      <c r="C64" s="214" t="s">
        <v>183</v>
      </c>
      <c r="D64" s="42" t="s">
        <v>471</v>
      </c>
    </row>
    <row r="65" spans="1:5" ht="12" customHeight="1">
      <c r="B65" s="215"/>
      <c r="C65" s="214" t="s">
        <v>184</v>
      </c>
      <c r="D65" s="42" t="s">
        <v>185</v>
      </c>
    </row>
    <row r="66" spans="1:5" ht="12" customHeight="1">
      <c r="B66" s="215"/>
      <c r="C66" s="214" t="s">
        <v>186</v>
      </c>
      <c r="D66" s="42" t="s">
        <v>480</v>
      </c>
    </row>
    <row r="67" spans="1:5" ht="6.75" customHeight="1">
      <c r="A67" s="42"/>
      <c r="C67" s="216"/>
    </row>
    <row r="68" spans="1:5" ht="15.75">
      <c r="A68" s="340" t="s">
        <v>369</v>
      </c>
      <c r="B68" s="340"/>
      <c r="C68" s="340"/>
      <c r="D68" s="340"/>
      <c r="E68" s="340"/>
    </row>
    <row r="69" spans="1:5" ht="15.75">
      <c r="A69" s="340" t="s">
        <v>488</v>
      </c>
      <c r="B69" s="340"/>
      <c r="C69" s="340"/>
      <c r="D69" s="340"/>
      <c r="E69" s="340"/>
    </row>
    <row r="70" spans="1:5" ht="7.5" customHeight="1" thickBot="1">
      <c r="A70" s="67"/>
    </row>
    <row r="71" spans="1:5" ht="22.5" customHeight="1" thickBot="1">
      <c r="A71" s="166" t="s">
        <v>4</v>
      </c>
      <c r="B71" s="167" t="s">
        <v>187</v>
      </c>
      <c r="C71" s="167" t="s">
        <v>370</v>
      </c>
      <c r="D71" s="167" t="s">
        <v>371</v>
      </c>
      <c r="E71" s="167" t="s">
        <v>11</v>
      </c>
    </row>
    <row r="72" spans="1:5" ht="15.75">
      <c r="A72" s="336">
        <v>1</v>
      </c>
      <c r="B72" s="336" t="s">
        <v>341</v>
      </c>
      <c r="C72" s="336" t="s">
        <v>339</v>
      </c>
      <c r="D72" s="70" t="s">
        <v>372</v>
      </c>
      <c r="E72" s="338"/>
    </row>
    <row r="73" spans="1:5" ht="16.5" thickBot="1">
      <c r="A73" s="337"/>
      <c r="B73" s="337"/>
      <c r="C73" s="337"/>
      <c r="D73" s="69"/>
      <c r="E73" s="339"/>
    </row>
    <row r="74" spans="1:5" ht="15.75">
      <c r="A74" s="336">
        <v>2</v>
      </c>
      <c r="B74" s="70" t="s">
        <v>373</v>
      </c>
      <c r="C74" s="336" t="s">
        <v>345</v>
      </c>
      <c r="D74" s="336" t="s">
        <v>343</v>
      </c>
      <c r="E74" s="338"/>
    </row>
    <row r="75" spans="1:5" ht="16.5" thickBot="1">
      <c r="A75" s="337"/>
      <c r="B75" s="69" t="s">
        <v>277</v>
      </c>
      <c r="C75" s="337"/>
      <c r="D75" s="337"/>
      <c r="E75" s="339"/>
    </row>
    <row r="76" spans="1:5" ht="32.25" thickBot="1">
      <c r="A76" s="68">
        <v>3</v>
      </c>
      <c r="B76" s="69" t="s">
        <v>347</v>
      </c>
      <c r="C76" s="69" t="s">
        <v>339</v>
      </c>
      <c r="D76" s="69" t="s">
        <v>374</v>
      </c>
      <c r="E76" s="71"/>
    </row>
    <row r="77" spans="1:5" ht="15.75">
      <c r="A77" s="126">
        <v>4</v>
      </c>
      <c r="B77" s="70" t="s">
        <v>423</v>
      </c>
      <c r="C77" s="70" t="s">
        <v>345</v>
      </c>
      <c r="D77" s="70" t="s">
        <v>375</v>
      </c>
      <c r="E77" s="129"/>
    </row>
    <row r="78" spans="1:5" ht="16.5" thickBot="1">
      <c r="A78" s="115"/>
      <c r="B78" s="69" t="s">
        <v>282</v>
      </c>
      <c r="C78" s="69"/>
      <c r="D78" s="69"/>
      <c r="E78" s="71"/>
    </row>
    <row r="79" spans="1:5" ht="15.75">
      <c r="A79" s="126">
        <v>5</v>
      </c>
      <c r="B79" s="70" t="s">
        <v>408</v>
      </c>
      <c r="C79" s="70" t="s">
        <v>354</v>
      </c>
      <c r="D79" s="70" t="s">
        <v>375</v>
      </c>
      <c r="E79" s="129"/>
    </row>
    <row r="80" spans="1:5" ht="16.5" thickBot="1">
      <c r="A80" s="126"/>
      <c r="B80" s="130" t="s">
        <v>42</v>
      </c>
      <c r="C80" s="70"/>
      <c r="D80" s="70"/>
      <c r="E80" s="129"/>
    </row>
    <row r="81" spans="1:5" ht="15.75">
      <c r="A81" s="336">
        <v>6</v>
      </c>
      <c r="B81" s="70" t="s">
        <v>366</v>
      </c>
      <c r="C81" s="112" t="s">
        <v>345</v>
      </c>
      <c r="D81" s="112" t="s">
        <v>376</v>
      </c>
      <c r="E81" s="338"/>
    </row>
    <row r="82" spans="1:5" ht="16.5" thickBot="1">
      <c r="A82" s="337"/>
      <c r="B82" s="69" t="s">
        <v>288</v>
      </c>
      <c r="C82" s="113"/>
      <c r="D82" s="113"/>
      <c r="E82" s="339"/>
    </row>
    <row r="83" spans="1:5" ht="15.75">
      <c r="A83" s="336">
        <v>7</v>
      </c>
      <c r="B83" s="70" t="s">
        <v>284</v>
      </c>
      <c r="C83" s="336" t="s">
        <v>345</v>
      </c>
      <c r="D83" s="336" t="s">
        <v>377</v>
      </c>
      <c r="E83" s="338"/>
    </row>
    <row r="84" spans="1:5" ht="16.5" thickBot="1">
      <c r="A84" s="337"/>
      <c r="B84" s="69" t="s">
        <v>285</v>
      </c>
      <c r="C84" s="337"/>
      <c r="D84" s="337"/>
      <c r="E84" s="339"/>
    </row>
    <row r="85" spans="1:5" ht="16.5" thickBot="1">
      <c r="A85" s="117">
        <v>8</v>
      </c>
      <c r="B85" s="70" t="s">
        <v>434</v>
      </c>
      <c r="C85" s="117"/>
      <c r="D85" s="117" t="s">
        <v>377</v>
      </c>
      <c r="E85" s="117" t="s">
        <v>155</v>
      </c>
    </row>
    <row r="86" spans="1:5" ht="16.5" thickBot="1">
      <c r="A86" s="117">
        <v>9</v>
      </c>
      <c r="B86" s="148" t="s">
        <v>303</v>
      </c>
      <c r="C86" s="117"/>
      <c r="D86" s="117" t="s">
        <v>377</v>
      </c>
      <c r="E86" s="117" t="s">
        <v>155</v>
      </c>
    </row>
    <row r="87" spans="1:5" ht="15.75">
      <c r="A87" s="336">
        <v>10</v>
      </c>
      <c r="B87" s="70" t="s">
        <v>378</v>
      </c>
      <c r="C87" s="336" t="s">
        <v>339</v>
      </c>
      <c r="D87" s="336" t="s">
        <v>379</v>
      </c>
      <c r="E87" s="336"/>
    </row>
    <row r="88" spans="1:5" ht="16.5" thickBot="1">
      <c r="A88" s="337"/>
      <c r="B88" s="69" t="s">
        <v>240</v>
      </c>
      <c r="C88" s="337"/>
      <c r="D88" s="337"/>
      <c r="E88" s="337"/>
    </row>
    <row r="89" spans="1:5" ht="47.25">
      <c r="A89" s="336">
        <v>11</v>
      </c>
      <c r="B89" s="70" t="s">
        <v>380</v>
      </c>
      <c r="C89" s="336" t="s">
        <v>345</v>
      </c>
      <c r="D89" s="70" t="s">
        <v>382</v>
      </c>
      <c r="E89" s="336"/>
    </row>
    <row r="90" spans="1:5" ht="16.5" thickBot="1">
      <c r="A90" s="337"/>
      <c r="B90" s="69" t="s">
        <v>381</v>
      </c>
      <c r="C90" s="337"/>
      <c r="D90" s="69" t="s">
        <v>513</v>
      </c>
      <c r="E90" s="337"/>
    </row>
    <row r="91" spans="1:5" ht="16.5" customHeight="1">
      <c r="A91" s="336">
        <v>12</v>
      </c>
      <c r="B91" s="70" t="s">
        <v>383</v>
      </c>
      <c r="C91" s="336" t="s">
        <v>345</v>
      </c>
      <c r="D91" s="70" t="s">
        <v>385</v>
      </c>
      <c r="E91" s="336"/>
    </row>
    <row r="92" spans="1:5" ht="32.25" thickBot="1">
      <c r="A92" s="337"/>
      <c r="B92" s="69" t="s">
        <v>384</v>
      </c>
      <c r="C92" s="337"/>
      <c r="D92" s="69" t="s">
        <v>386</v>
      </c>
      <c r="E92" s="337"/>
    </row>
    <row r="93" spans="1:5" ht="15.75">
      <c r="A93" s="336">
        <v>12</v>
      </c>
      <c r="B93" s="70" t="s">
        <v>387</v>
      </c>
      <c r="C93" s="336" t="s">
        <v>389</v>
      </c>
      <c r="D93" s="70" t="s">
        <v>390</v>
      </c>
      <c r="E93" s="336"/>
    </row>
    <row r="94" spans="1:5" ht="21" customHeight="1" thickBot="1">
      <c r="A94" s="337"/>
      <c r="B94" s="69" t="s">
        <v>388</v>
      </c>
      <c r="C94" s="337"/>
      <c r="D94" s="69" t="s">
        <v>391</v>
      </c>
      <c r="E94" s="337"/>
    </row>
    <row r="95" spans="1:5" ht="15.75" customHeight="1">
      <c r="A95" s="336">
        <v>13</v>
      </c>
      <c r="B95" s="127" t="s">
        <v>392</v>
      </c>
      <c r="C95" s="341" t="s">
        <v>389</v>
      </c>
      <c r="D95" s="70" t="s">
        <v>394</v>
      </c>
      <c r="E95" s="336"/>
    </row>
    <row r="96" spans="1:5" ht="16.5" thickBot="1">
      <c r="A96" s="337"/>
      <c r="B96" s="128" t="s">
        <v>393</v>
      </c>
      <c r="C96" s="342"/>
      <c r="D96" s="69" t="s">
        <v>395</v>
      </c>
      <c r="E96" s="337"/>
    </row>
    <row r="97" spans="1:5" ht="32.25" thickBot="1">
      <c r="A97" s="117">
        <v>14</v>
      </c>
      <c r="B97" s="148" t="s">
        <v>396</v>
      </c>
      <c r="C97" s="117"/>
      <c r="D97" s="117" t="s">
        <v>397</v>
      </c>
      <c r="E97" s="117" t="s">
        <v>398</v>
      </c>
    </row>
    <row r="98" spans="1:5" ht="15.75">
      <c r="A98" s="336">
        <v>15</v>
      </c>
      <c r="B98" s="70" t="s">
        <v>399</v>
      </c>
      <c r="C98" s="336"/>
      <c r="D98" s="336" t="s">
        <v>514</v>
      </c>
      <c r="E98" s="336" t="s">
        <v>398</v>
      </c>
    </row>
    <row r="99" spans="1:5" ht="16.5" thickBot="1">
      <c r="A99" s="337"/>
      <c r="B99" s="69" t="s">
        <v>291</v>
      </c>
      <c r="C99" s="337"/>
      <c r="D99" s="337"/>
      <c r="E99" s="337"/>
    </row>
    <row r="100" spans="1:5" ht="18.75" customHeight="1">
      <c r="A100" s="336">
        <v>16</v>
      </c>
      <c r="B100" s="70" t="s">
        <v>400</v>
      </c>
      <c r="C100" s="336"/>
      <c r="D100" s="70" t="s">
        <v>401</v>
      </c>
      <c r="E100" s="336" t="s">
        <v>398</v>
      </c>
    </row>
    <row r="101" spans="1:5" ht="30.75" customHeight="1" thickBot="1">
      <c r="A101" s="337"/>
      <c r="B101" s="69" t="s">
        <v>291</v>
      </c>
      <c r="C101" s="337"/>
      <c r="D101" s="69" t="s">
        <v>402</v>
      </c>
      <c r="E101" s="337"/>
    </row>
    <row r="102" spans="1:5" ht="15.75">
      <c r="A102" s="336">
        <v>17</v>
      </c>
      <c r="B102" s="70" t="s">
        <v>373</v>
      </c>
      <c r="C102" s="336" t="s">
        <v>345</v>
      </c>
      <c r="D102" s="336" t="s">
        <v>403</v>
      </c>
      <c r="E102" s="336"/>
    </row>
    <row r="103" spans="1:5" ht="16.5" thickBot="1">
      <c r="A103" s="337"/>
      <c r="B103" s="69" t="s">
        <v>277</v>
      </c>
      <c r="C103" s="337"/>
      <c r="D103" s="337"/>
      <c r="E103" s="337"/>
    </row>
    <row r="104" spans="1:5" ht="32.25" thickBot="1">
      <c r="A104" s="126">
        <v>18</v>
      </c>
      <c r="B104" s="70" t="s">
        <v>367</v>
      </c>
      <c r="C104" s="126"/>
      <c r="D104" s="126" t="s">
        <v>441</v>
      </c>
      <c r="E104" s="126" t="s">
        <v>155</v>
      </c>
    </row>
    <row r="105" spans="1:5" ht="15.75">
      <c r="A105" s="336">
        <v>19</v>
      </c>
      <c r="B105" s="114" t="s">
        <v>253</v>
      </c>
      <c r="C105" s="336" t="s">
        <v>339</v>
      </c>
      <c r="D105" s="336" t="s">
        <v>439</v>
      </c>
      <c r="E105" s="336"/>
    </row>
    <row r="106" spans="1:5" ht="16.5" thickBot="1">
      <c r="A106" s="337"/>
      <c r="B106" s="69" t="s">
        <v>442</v>
      </c>
      <c r="C106" s="337"/>
      <c r="D106" s="337"/>
      <c r="E106" s="337"/>
    </row>
    <row r="107" spans="1:5" ht="15.75">
      <c r="A107" s="336">
        <v>20</v>
      </c>
      <c r="B107" s="16" t="s">
        <v>443</v>
      </c>
      <c r="C107" s="336" t="s">
        <v>422</v>
      </c>
      <c r="D107" s="336" t="s">
        <v>440</v>
      </c>
      <c r="E107" s="336"/>
    </row>
    <row r="108" spans="1:5" ht="16.5" thickBot="1">
      <c r="A108" s="337"/>
      <c r="B108" s="131" t="s">
        <v>129</v>
      </c>
      <c r="C108" s="337"/>
      <c r="D108" s="337"/>
      <c r="E108" s="337"/>
    </row>
    <row r="109" spans="1:5" ht="16.5" thickBot="1">
      <c r="A109" s="148">
        <v>21</v>
      </c>
      <c r="B109" s="149" t="s">
        <v>404</v>
      </c>
      <c r="C109" s="148"/>
      <c r="D109" s="148" t="s">
        <v>405</v>
      </c>
      <c r="E109" s="148" t="s">
        <v>398</v>
      </c>
    </row>
    <row r="110" spans="1:5" ht="3.75" customHeight="1">
      <c r="A110" s="72"/>
    </row>
    <row r="111" spans="1:5" ht="15.75">
      <c r="D111" s="77" t="s">
        <v>196</v>
      </c>
    </row>
    <row r="112" spans="1:5" ht="15.75">
      <c r="A112" s="42"/>
    </row>
    <row r="113" spans="1:4" ht="15.75">
      <c r="A113" s="42"/>
    </row>
    <row r="114" spans="1:4" ht="15.75">
      <c r="D114" s="42" t="s">
        <v>365</v>
      </c>
    </row>
    <row r="115" spans="1:4" ht="15.75">
      <c r="D115" s="42" t="s">
        <v>179</v>
      </c>
    </row>
    <row r="116" spans="1:4" ht="15.75">
      <c r="D116" s="42" t="s">
        <v>308</v>
      </c>
    </row>
    <row r="117" spans="1:4" ht="15.75">
      <c r="A117" s="42"/>
    </row>
    <row r="118" spans="1:4" ht="15.75">
      <c r="A118" s="42"/>
    </row>
    <row r="119" spans="1:4" ht="15.75">
      <c r="A119" s="42"/>
    </row>
  </sheetData>
  <mergeCells count="53">
    <mergeCell ref="A6:E6"/>
    <mergeCell ref="A7:E7"/>
    <mergeCell ref="A68:E68"/>
    <mergeCell ref="A69:E69"/>
    <mergeCell ref="A105:A106"/>
    <mergeCell ref="C105:C106"/>
    <mergeCell ref="D105:D106"/>
    <mergeCell ref="E105:E106"/>
    <mergeCell ref="A95:A96"/>
    <mergeCell ref="C95:C96"/>
    <mergeCell ref="E95:E96"/>
    <mergeCell ref="A91:A92"/>
    <mergeCell ref="A98:A99"/>
    <mergeCell ref="C98:C99"/>
    <mergeCell ref="D98:D99"/>
    <mergeCell ref="E98:E99"/>
    <mergeCell ref="C107:C108"/>
    <mergeCell ref="D107:D108"/>
    <mergeCell ref="E107:E108"/>
    <mergeCell ref="A107:A108"/>
    <mergeCell ref="A102:A103"/>
    <mergeCell ref="C102:C103"/>
    <mergeCell ref="D102:D103"/>
    <mergeCell ref="E102:E103"/>
    <mergeCell ref="A100:A101"/>
    <mergeCell ref="C100:C101"/>
    <mergeCell ref="E100:E101"/>
    <mergeCell ref="C91:C92"/>
    <mergeCell ref="E91:E92"/>
    <mergeCell ref="A93:A94"/>
    <mergeCell ref="C93:C94"/>
    <mergeCell ref="E93:E94"/>
    <mergeCell ref="A87:A88"/>
    <mergeCell ref="C87:C88"/>
    <mergeCell ref="D87:D88"/>
    <mergeCell ref="E87:E88"/>
    <mergeCell ref="A89:A90"/>
    <mergeCell ref="C89:C90"/>
    <mergeCell ref="E89:E90"/>
    <mergeCell ref="A81:A82"/>
    <mergeCell ref="E81:E82"/>
    <mergeCell ref="A83:A84"/>
    <mergeCell ref="C83:C84"/>
    <mergeCell ref="D83:D84"/>
    <mergeCell ref="E83:E84"/>
    <mergeCell ref="A72:A73"/>
    <mergeCell ref="B72:B73"/>
    <mergeCell ref="C72:C73"/>
    <mergeCell ref="E72:E73"/>
    <mergeCell ref="A74:A75"/>
    <mergeCell ref="C74:C75"/>
    <mergeCell ref="D74:D75"/>
    <mergeCell ref="E74:E75"/>
  </mergeCells>
  <pageMargins left="0.98" right="0.70866141732283505" top="0.48" bottom="0.74803149606299202" header="0.31496062992126" footer="0.31496062992126"/>
  <pageSetup paperSize="5" scale="90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view="pageBreakPreview" topLeftCell="A19" zoomScaleSheetLayoutView="100" workbookViewId="0">
      <selection activeCell="E36" sqref="E36"/>
    </sheetView>
  </sheetViews>
  <sheetFormatPr defaultRowHeight="15"/>
  <cols>
    <col min="1" max="1" width="4.42578125" customWidth="1"/>
    <col min="2" max="2" width="26.7109375" customWidth="1"/>
    <col min="3" max="3" width="17.5703125" customWidth="1"/>
    <col min="4" max="4" width="15.5703125" customWidth="1"/>
    <col min="5" max="5" width="21.7109375" customWidth="1"/>
  </cols>
  <sheetData>
    <row r="1" spans="1:6" ht="14.1" customHeight="1">
      <c r="A1" s="133"/>
      <c r="B1" s="133"/>
      <c r="C1" s="217" t="s">
        <v>406</v>
      </c>
      <c r="D1" s="217" t="s">
        <v>182</v>
      </c>
      <c r="F1" s="133"/>
    </row>
    <row r="2" spans="1:6" ht="14.1" customHeight="1">
      <c r="A2" s="133"/>
      <c r="B2" s="133"/>
      <c r="C2" s="218" t="s">
        <v>454</v>
      </c>
      <c r="D2" s="42" t="s">
        <v>474</v>
      </c>
      <c r="F2" s="133"/>
    </row>
    <row r="3" spans="1:6" ht="14.1" customHeight="1">
      <c r="A3" s="133"/>
      <c r="B3" s="133"/>
      <c r="C3" s="218" t="s">
        <v>184</v>
      </c>
      <c r="D3" s="42" t="s">
        <v>185</v>
      </c>
      <c r="F3" s="133"/>
    </row>
    <row r="4" spans="1:6" ht="14.1" customHeight="1">
      <c r="A4" s="133"/>
      <c r="B4" s="133"/>
      <c r="C4" s="218" t="s">
        <v>455</v>
      </c>
      <c r="D4" s="42" t="s">
        <v>480</v>
      </c>
      <c r="F4" s="133"/>
    </row>
    <row r="5" spans="1:6" ht="10.5" customHeight="1">
      <c r="A5" s="133"/>
      <c r="B5" s="133"/>
      <c r="C5" s="133"/>
      <c r="D5" s="133"/>
      <c r="E5" s="133"/>
      <c r="F5" s="133"/>
    </row>
    <row r="6" spans="1:6" ht="20.100000000000001" customHeight="1">
      <c r="A6" s="347" t="s">
        <v>407</v>
      </c>
      <c r="B6" s="347"/>
      <c r="C6" s="347"/>
      <c r="D6" s="347"/>
      <c r="E6" s="347"/>
      <c r="F6" s="133"/>
    </row>
    <row r="7" spans="1:6" ht="21" customHeight="1">
      <c r="A7" s="347" t="s">
        <v>475</v>
      </c>
      <c r="B7" s="347"/>
      <c r="C7" s="347"/>
      <c r="D7" s="347"/>
      <c r="E7" s="347"/>
      <c r="F7" s="133"/>
    </row>
    <row r="8" spans="1:6" ht="20.100000000000001" customHeight="1" thickBot="1">
      <c r="A8" s="134"/>
      <c r="B8" s="133"/>
      <c r="C8" s="133"/>
      <c r="D8" s="133"/>
      <c r="E8" s="133"/>
      <c r="F8" s="133"/>
    </row>
    <row r="9" spans="1:6" ht="39.75" customHeight="1" thickBot="1">
      <c r="A9" s="141" t="s">
        <v>4</v>
      </c>
      <c r="B9" s="142" t="s">
        <v>187</v>
      </c>
      <c r="C9" s="142" t="s">
        <v>337</v>
      </c>
      <c r="D9" s="142" t="s">
        <v>444</v>
      </c>
      <c r="E9" s="142" t="s">
        <v>11</v>
      </c>
      <c r="F9" s="133"/>
    </row>
    <row r="10" spans="1:6" ht="20.100000000000001" customHeight="1">
      <c r="A10" s="345">
        <v>1</v>
      </c>
      <c r="B10" s="135" t="s">
        <v>408</v>
      </c>
      <c r="C10" s="343" t="s">
        <v>409</v>
      </c>
      <c r="D10" s="345" t="s">
        <v>410</v>
      </c>
      <c r="E10" s="343"/>
      <c r="F10" s="133"/>
    </row>
    <row r="11" spans="1:6" ht="20.100000000000001" customHeight="1" thickBot="1">
      <c r="A11" s="346"/>
      <c r="B11" s="136" t="s">
        <v>202</v>
      </c>
      <c r="C11" s="344"/>
      <c r="D11" s="346"/>
      <c r="E11" s="344"/>
      <c r="F11" s="133"/>
    </row>
    <row r="12" spans="1:6" ht="20.100000000000001" customHeight="1">
      <c r="A12" s="345">
        <v>2</v>
      </c>
      <c r="B12" s="135" t="s">
        <v>260</v>
      </c>
      <c r="C12" s="343" t="s">
        <v>491</v>
      </c>
      <c r="D12" s="345" t="s">
        <v>410</v>
      </c>
      <c r="E12" s="343"/>
      <c r="F12" s="133"/>
    </row>
    <row r="13" spans="1:6" ht="20.100000000000001" customHeight="1" thickBot="1">
      <c r="A13" s="346"/>
      <c r="B13" s="136" t="s">
        <v>263</v>
      </c>
      <c r="C13" s="344"/>
      <c r="D13" s="346"/>
      <c r="E13" s="344"/>
      <c r="F13" s="133"/>
    </row>
    <row r="14" spans="1:6" ht="20.100000000000001" customHeight="1">
      <c r="A14" s="345">
        <v>3</v>
      </c>
      <c r="B14" s="202" t="s">
        <v>412</v>
      </c>
      <c r="C14" s="343" t="s">
        <v>438</v>
      </c>
      <c r="D14" s="345" t="s">
        <v>410</v>
      </c>
      <c r="E14" s="343"/>
      <c r="F14" s="133"/>
    </row>
    <row r="15" spans="1:6" ht="20.100000000000001" customHeight="1" thickBot="1">
      <c r="A15" s="346"/>
      <c r="B15" s="210" t="s">
        <v>282</v>
      </c>
      <c r="C15" s="344"/>
      <c r="D15" s="346"/>
      <c r="E15" s="344"/>
      <c r="F15" s="133"/>
    </row>
    <row r="16" spans="1:6" ht="20.100000000000001" customHeight="1">
      <c r="A16" s="138">
        <v>4</v>
      </c>
      <c r="B16" s="202" t="s">
        <v>498</v>
      </c>
      <c r="C16" s="137" t="s">
        <v>291</v>
      </c>
      <c r="D16" s="345" t="s">
        <v>410</v>
      </c>
      <c r="E16" s="137" t="s">
        <v>155</v>
      </c>
      <c r="F16" s="133"/>
    </row>
    <row r="17" spans="1:6" ht="20.100000000000001" customHeight="1" thickBot="1">
      <c r="A17" s="138"/>
      <c r="B17" s="139" t="s">
        <v>291</v>
      </c>
      <c r="C17" s="137"/>
      <c r="D17" s="346"/>
      <c r="E17" s="137"/>
      <c r="F17" s="133"/>
    </row>
    <row r="18" spans="1:6" ht="20.100000000000001" customHeight="1">
      <c r="A18" s="345">
        <v>5</v>
      </c>
      <c r="B18" s="135" t="s">
        <v>411</v>
      </c>
      <c r="C18" s="343" t="s">
        <v>339</v>
      </c>
      <c r="D18" s="345" t="s">
        <v>445</v>
      </c>
      <c r="E18" s="343"/>
      <c r="F18" s="133"/>
    </row>
    <row r="19" spans="1:6" ht="20.100000000000001" customHeight="1" thickBot="1">
      <c r="A19" s="346"/>
      <c r="B19" s="136" t="s">
        <v>259</v>
      </c>
      <c r="C19" s="344"/>
      <c r="D19" s="346"/>
      <c r="E19" s="344"/>
      <c r="F19" s="133"/>
    </row>
    <row r="20" spans="1:6" ht="20.100000000000001" customHeight="1">
      <c r="A20" s="138">
        <v>6</v>
      </c>
      <c r="B20" s="135" t="s">
        <v>499</v>
      </c>
      <c r="C20" s="137" t="s">
        <v>291</v>
      </c>
      <c r="D20" s="345" t="s">
        <v>445</v>
      </c>
      <c r="E20" s="137" t="s">
        <v>155</v>
      </c>
      <c r="F20" s="133"/>
    </row>
    <row r="21" spans="1:6" ht="20.100000000000001" customHeight="1" thickBot="1">
      <c r="A21" s="138"/>
      <c r="B21" s="139" t="s">
        <v>291</v>
      </c>
      <c r="C21" s="137"/>
      <c r="D21" s="346"/>
      <c r="E21" s="137"/>
      <c r="F21" s="133"/>
    </row>
    <row r="22" spans="1:6" ht="20.100000000000001" customHeight="1">
      <c r="A22" s="345">
        <v>7</v>
      </c>
      <c r="B22" s="135" t="s">
        <v>417</v>
      </c>
      <c r="C22" s="343" t="s">
        <v>291</v>
      </c>
      <c r="D22" s="345" t="s">
        <v>413</v>
      </c>
      <c r="E22" s="343"/>
      <c r="F22" s="133"/>
    </row>
    <row r="23" spans="1:6" ht="20.100000000000001" customHeight="1" thickBot="1">
      <c r="A23" s="346"/>
      <c r="B23" s="136" t="s">
        <v>291</v>
      </c>
      <c r="C23" s="344"/>
      <c r="D23" s="346"/>
      <c r="E23" s="344"/>
      <c r="F23" s="133"/>
    </row>
    <row r="24" spans="1:6" ht="20.100000000000001" customHeight="1">
      <c r="A24" s="345">
        <v>8</v>
      </c>
      <c r="B24" s="135" t="s">
        <v>366</v>
      </c>
      <c r="C24" s="343" t="s">
        <v>345</v>
      </c>
      <c r="D24" s="345" t="s">
        <v>414</v>
      </c>
      <c r="E24" s="343"/>
      <c r="F24" s="133"/>
    </row>
    <row r="25" spans="1:6" ht="20.100000000000001" customHeight="1" thickBot="1">
      <c r="A25" s="346"/>
      <c r="B25" s="136" t="s">
        <v>288</v>
      </c>
      <c r="C25" s="344"/>
      <c r="D25" s="346"/>
      <c r="E25" s="344"/>
      <c r="F25" s="133"/>
    </row>
    <row r="26" spans="1:6" ht="20.100000000000001" customHeight="1">
      <c r="A26" s="345">
        <v>9</v>
      </c>
      <c r="B26" s="135" t="s">
        <v>415</v>
      </c>
      <c r="C26" s="343" t="s">
        <v>339</v>
      </c>
      <c r="D26" s="345" t="s">
        <v>416</v>
      </c>
      <c r="E26" s="343"/>
      <c r="F26" s="133"/>
    </row>
    <row r="27" spans="1:6" ht="20.100000000000001" customHeight="1" thickBot="1">
      <c r="A27" s="346"/>
      <c r="B27" s="136" t="s">
        <v>225</v>
      </c>
      <c r="C27" s="344"/>
      <c r="D27" s="346"/>
      <c r="E27" s="344"/>
      <c r="F27" s="133"/>
    </row>
    <row r="28" spans="1:6" ht="20.100000000000001" customHeight="1">
      <c r="A28" s="345">
        <v>10</v>
      </c>
      <c r="B28" s="135" t="s">
        <v>417</v>
      </c>
      <c r="C28" s="343" t="s">
        <v>291</v>
      </c>
      <c r="D28" s="345" t="s">
        <v>418</v>
      </c>
      <c r="E28" s="343" t="s">
        <v>155</v>
      </c>
      <c r="F28" s="133"/>
    </row>
    <row r="29" spans="1:6" ht="20.100000000000001" customHeight="1" thickBot="1">
      <c r="A29" s="346"/>
      <c r="B29" s="136" t="s">
        <v>291</v>
      </c>
      <c r="C29" s="344"/>
      <c r="D29" s="346"/>
      <c r="E29" s="344"/>
      <c r="F29" s="133"/>
    </row>
    <row r="30" spans="1:6" ht="20.100000000000001" customHeight="1">
      <c r="A30" s="345">
        <v>11</v>
      </c>
      <c r="B30" s="135" t="s">
        <v>400</v>
      </c>
      <c r="C30" s="343" t="s">
        <v>291</v>
      </c>
      <c r="D30" s="345" t="s">
        <v>419</v>
      </c>
      <c r="E30" s="343" t="s">
        <v>398</v>
      </c>
      <c r="F30" s="133"/>
    </row>
    <row r="31" spans="1:6" ht="20.100000000000001" customHeight="1" thickBot="1">
      <c r="A31" s="346"/>
      <c r="B31" s="136" t="s">
        <v>291</v>
      </c>
      <c r="C31" s="344"/>
      <c r="D31" s="346"/>
      <c r="E31" s="344"/>
      <c r="F31" s="133"/>
    </row>
    <row r="32" spans="1:6" ht="20.100000000000001" customHeight="1">
      <c r="A32" s="345">
        <v>12</v>
      </c>
      <c r="B32" s="135" t="s">
        <v>420</v>
      </c>
      <c r="C32" s="343" t="s">
        <v>339</v>
      </c>
      <c r="D32" s="345" t="s">
        <v>421</v>
      </c>
      <c r="E32" s="343"/>
      <c r="F32" s="133"/>
    </row>
    <row r="33" spans="1:6" ht="20.100000000000001" customHeight="1" thickBot="1">
      <c r="A33" s="346"/>
      <c r="B33" s="136" t="s">
        <v>213</v>
      </c>
      <c r="C33" s="344"/>
      <c r="D33" s="346"/>
      <c r="E33" s="344"/>
      <c r="F33" s="133"/>
    </row>
    <row r="34" spans="1:6" ht="20.100000000000001" customHeight="1">
      <c r="A34" s="345">
        <v>11</v>
      </c>
      <c r="B34" s="135" t="s">
        <v>253</v>
      </c>
      <c r="C34" s="343" t="s">
        <v>339</v>
      </c>
      <c r="D34" s="345" t="s">
        <v>421</v>
      </c>
      <c r="E34" s="343"/>
      <c r="F34" s="133"/>
    </row>
    <row r="35" spans="1:6" ht="16.5" thickBot="1">
      <c r="A35" s="346"/>
      <c r="B35" s="136" t="s">
        <v>255</v>
      </c>
      <c r="C35" s="344"/>
      <c r="D35" s="346"/>
      <c r="E35" s="344"/>
      <c r="F35" s="133"/>
    </row>
    <row r="36" spans="1:6" ht="15.75">
      <c r="A36" s="133"/>
      <c r="B36" s="133"/>
      <c r="C36" s="133"/>
      <c r="D36" s="133"/>
      <c r="E36" s="133"/>
      <c r="F36" s="133"/>
    </row>
    <row r="37" spans="1:6" ht="15.75">
      <c r="A37" s="133"/>
      <c r="B37" s="133"/>
      <c r="C37" s="133"/>
      <c r="D37" s="140" t="s">
        <v>196</v>
      </c>
      <c r="E37" s="133"/>
      <c r="F37" s="133"/>
    </row>
    <row r="38" spans="1:6" ht="15.75">
      <c r="A38" s="133"/>
      <c r="B38" s="133"/>
      <c r="C38" s="133"/>
      <c r="D38" s="133"/>
      <c r="E38" s="133"/>
      <c r="F38" s="133"/>
    </row>
    <row r="39" spans="1:6" ht="15.75">
      <c r="A39" s="133"/>
      <c r="B39" s="133"/>
      <c r="C39" s="133"/>
      <c r="D39" s="133"/>
      <c r="E39" s="133"/>
      <c r="F39" s="133"/>
    </row>
    <row r="40" spans="1:6" ht="15.75">
      <c r="A40" s="133"/>
      <c r="B40" s="133"/>
      <c r="C40" s="133"/>
      <c r="D40" s="133" t="s">
        <v>307</v>
      </c>
      <c r="E40" s="133"/>
      <c r="F40" s="133"/>
    </row>
    <row r="41" spans="1:6" ht="15.75">
      <c r="A41" s="133"/>
      <c r="B41" s="133"/>
      <c r="C41" s="133"/>
      <c r="D41" s="133" t="s">
        <v>179</v>
      </c>
      <c r="E41" s="133"/>
      <c r="F41" s="133"/>
    </row>
    <row r="42" spans="1:6" ht="15.75">
      <c r="A42" s="133"/>
      <c r="B42" s="133"/>
      <c r="C42" s="133"/>
      <c r="D42" s="133" t="s">
        <v>308</v>
      </c>
      <c r="E42" s="133"/>
      <c r="F42" s="133"/>
    </row>
    <row r="43" spans="1:6" ht="15.75">
      <c r="A43" s="133"/>
      <c r="B43" s="133"/>
      <c r="C43" s="133"/>
      <c r="D43" s="133"/>
      <c r="E43" s="133"/>
      <c r="F43" s="133"/>
    </row>
    <row r="44" spans="1:6" ht="15.75">
      <c r="A44" s="133"/>
      <c r="B44" s="133"/>
      <c r="C44" s="133"/>
      <c r="D44" s="133"/>
      <c r="E44" s="133"/>
      <c r="F44" s="133"/>
    </row>
    <row r="45" spans="1:6" ht="15.75">
      <c r="A45" s="133"/>
      <c r="B45" s="133"/>
      <c r="C45" s="133"/>
      <c r="D45" s="133"/>
      <c r="E45" s="133"/>
      <c r="F45" s="133"/>
    </row>
    <row r="46" spans="1:6" ht="15.75">
      <c r="A46" s="133"/>
      <c r="B46" s="133"/>
      <c r="C46" s="133"/>
      <c r="D46" s="133"/>
      <c r="E46" s="133"/>
      <c r="F46" s="133"/>
    </row>
    <row r="47" spans="1:6" ht="15.75">
      <c r="A47" s="42"/>
    </row>
    <row r="48" spans="1:6" ht="15.75">
      <c r="A48" s="42"/>
    </row>
  </sheetData>
  <mergeCells count="48">
    <mergeCell ref="A22:A23"/>
    <mergeCell ref="C22:C23"/>
    <mergeCell ref="D22:D23"/>
    <mergeCell ref="E22:E23"/>
    <mergeCell ref="A24:A25"/>
    <mergeCell ref="C24:C25"/>
    <mergeCell ref="D24:D25"/>
    <mergeCell ref="E24:E25"/>
    <mergeCell ref="A34:A35"/>
    <mergeCell ref="C34:C35"/>
    <mergeCell ref="D34:D35"/>
    <mergeCell ref="E34:E35"/>
    <mergeCell ref="C30:C31"/>
    <mergeCell ref="D30:D31"/>
    <mergeCell ref="E30:E31"/>
    <mergeCell ref="A32:A33"/>
    <mergeCell ref="C32:C33"/>
    <mergeCell ref="D32:D33"/>
    <mergeCell ref="E32:E33"/>
    <mergeCell ref="A26:A27"/>
    <mergeCell ref="C26:C27"/>
    <mergeCell ref="D26:D27"/>
    <mergeCell ref="E26:E27"/>
    <mergeCell ref="A30:A31"/>
    <mergeCell ref="A28:A29"/>
    <mergeCell ref="C28:C29"/>
    <mergeCell ref="D28:D29"/>
    <mergeCell ref="E28:E29"/>
    <mergeCell ref="A10:A11"/>
    <mergeCell ref="C10:C11"/>
    <mergeCell ref="D10:D11"/>
    <mergeCell ref="E10:E11"/>
    <mergeCell ref="A6:E6"/>
    <mergeCell ref="A7:E7"/>
    <mergeCell ref="A14:A15"/>
    <mergeCell ref="C14:C15"/>
    <mergeCell ref="D14:D15"/>
    <mergeCell ref="E14:E15"/>
    <mergeCell ref="A12:A13"/>
    <mergeCell ref="C12:C13"/>
    <mergeCell ref="D12:D13"/>
    <mergeCell ref="E12:E13"/>
    <mergeCell ref="E18:E19"/>
    <mergeCell ref="D20:D21"/>
    <mergeCell ref="D16:D17"/>
    <mergeCell ref="A18:A19"/>
    <mergeCell ref="C18:C19"/>
    <mergeCell ref="D18:D19"/>
  </mergeCells>
  <pageMargins left="0.75" right="0.75" top="0.74803149606299202" bottom="0.74803149606299202" header="0.31496062992126" footer="0.31496062992126"/>
  <pageSetup paperSize="5" scale="90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Z135"/>
  <sheetViews>
    <sheetView view="pageBreakPreview" topLeftCell="A118" zoomScale="120" zoomScaleSheetLayoutView="120" workbookViewId="0">
      <selection activeCell="F15" sqref="F15"/>
    </sheetView>
  </sheetViews>
  <sheetFormatPr defaultRowHeight="15"/>
  <cols>
    <col min="1" max="1" width="4.5703125" customWidth="1"/>
    <col min="2" max="2" width="4" customWidth="1"/>
    <col min="3" max="3" width="24.5703125" customWidth="1"/>
    <col min="4" max="4" width="14.28515625" customWidth="1"/>
    <col min="5" max="5" width="8" customWidth="1"/>
    <col min="6" max="6" width="14.140625" customWidth="1"/>
    <col min="7" max="7" width="14" customWidth="1"/>
    <col min="8" max="24" width="2.7109375" customWidth="1"/>
    <col min="25" max="25" width="4.5703125" customWidth="1"/>
    <col min="26" max="26" width="14" customWidth="1"/>
    <col min="27" max="27" width="3.7109375" customWidth="1"/>
  </cols>
  <sheetData>
    <row r="1" spans="1:26" ht="15.75">
      <c r="A1" s="1"/>
      <c r="B1" s="1"/>
      <c r="C1" s="1"/>
      <c r="D1" s="1"/>
      <c r="E1" s="1"/>
      <c r="F1" s="1"/>
      <c r="G1" s="1"/>
      <c r="H1" s="1" t="s">
        <v>0</v>
      </c>
      <c r="I1" s="1"/>
      <c r="J1" s="1"/>
      <c r="K1" s="1"/>
      <c r="L1" s="1"/>
      <c r="M1" s="1"/>
      <c r="N1" s="1"/>
      <c r="O1" s="1" t="s">
        <v>1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Q2" s="1" t="s">
        <v>464</v>
      </c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111"/>
      <c r="P3" s="111"/>
      <c r="Q3" s="2" t="s">
        <v>477</v>
      </c>
      <c r="R3" s="2"/>
      <c r="S3" s="2"/>
      <c r="T3" s="2"/>
      <c r="U3" s="2"/>
      <c r="V3" s="2"/>
      <c r="W3" s="2"/>
      <c r="X3" s="2"/>
      <c r="Y3" s="2"/>
      <c r="Z3" s="2"/>
    </row>
    <row r="4" spans="1:26" ht="15.75">
      <c r="A4" s="1" t="s">
        <v>2</v>
      </c>
      <c r="B4" s="1"/>
      <c r="C4" s="3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>
      <c r="A5" s="1"/>
      <c r="B5" s="1"/>
      <c r="C5" s="3" t="s">
        <v>465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>
      <c r="A7" s="348" t="s">
        <v>4</v>
      </c>
      <c r="B7" s="354" t="s">
        <v>5</v>
      </c>
      <c r="C7" s="348" t="s">
        <v>6</v>
      </c>
      <c r="D7" s="4" t="s">
        <v>7</v>
      </c>
      <c r="E7" s="4" t="s">
        <v>8</v>
      </c>
      <c r="F7" s="4" t="s">
        <v>9</v>
      </c>
      <c r="G7" s="4" t="s">
        <v>9</v>
      </c>
      <c r="H7" s="348" t="s">
        <v>10</v>
      </c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 t="s">
        <v>11</v>
      </c>
    </row>
    <row r="8" spans="1:26" ht="15.75">
      <c r="A8" s="348"/>
      <c r="B8" s="355"/>
      <c r="C8" s="348"/>
      <c r="D8" s="349" t="s">
        <v>12</v>
      </c>
      <c r="E8" s="349" t="s">
        <v>13</v>
      </c>
      <c r="F8" s="79" t="s">
        <v>14</v>
      </c>
      <c r="G8" s="79" t="s">
        <v>15</v>
      </c>
      <c r="H8" s="351" t="s">
        <v>16</v>
      </c>
      <c r="I8" s="352"/>
      <c r="J8" s="352"/>
      <c r="K8" s="352"/>
      <c r="L8" s="352"/>
      <c r="M8" s="352"/>
      <c r="N8" s="353" t="s">
        <v>17</v>
      </c>
      <c r="O8" s="352"/>
      <c r="P8" s="352"/>
      <c r="Q8" s="352"/>
      <c r="R8" s="352"/>
      <c r="S8" s="353" t="s">
        <v>18</v>
      </c>
      <c r="T8" s="352"/>
      <c r="U8" s="352"/>
      <c r="V8" s="352"/>
      <c r="W8" s="352"/>
      <c r="X8" s="352"/>
      <c r="Y8" s="348" t="s">
        <v>19</v>
      </c>
      <c r="Z8" s="348"/>
    </row>
    <row r="9" spans="1:26" ht="15.75">
      <c r="A9" s="348"/>
      <c r="B9" s="356"/>
      <c r="C9" s="348"/>
      <c r="D9" s="350"/>
      <c r="E9" s="350"/>
      <c r="F9" s="80" t="s">
        <v>20</v>
      </c>
      <c r="G9" s="80" t="s">
        <v>21</v>
      </c>
      <c r="H9" s="78" t="s">
        <v>22</v>
      </c>
      <c r="I9" s="78" t="s">
        <v>23</v>
      </c>
      <c r="J9" s="78" t="s">
        <v>24</v>
      </c>
      <c r="K9" s="182" t="s">
        <v>25</v>
      </c>
      <c r="L9" s="183" t="s">
        <v>26</v>
      </c>
      <c r="M9" s="183" t="s">
        <v>27</v>
      </c>
      <c r="N9" s="81" t="s">
        <v>22</v>
      </c>
      <c r="O9" s="78" t="s">
        <v>23</v>
      </c>
      <c r="P9" s="211" t="s">
        <v>24</v>
      </c>
      <c r="Q9" s="211" t="s">
        <v>25</v>
      </c>
      <c r="R9" s="211" t="s">
        <v>26</v>
      </c>
      <c r="S9" s="81" t="s">
        <v>22</v>
      </c>
      <c r="T9" s="78" t="s">
        <v>23</v>
      </c>
      <c r="U9" s="78" t="s">
        <v>24</v>
      </c>
      <c r="V9" s="78" t="s">
        <v>25</v>
      </c>
      <c r="W9" s="78" t="s">
        <v>26</v>
      </c>
      <c r="X9" s="78" t="s">
        <v>27</v>
      </c>
      <c r="Y9" s="348"/>
      <c r="Z9" s="348"/>
    </row>
    <row r="10" spans="1:26" ht="15.75">
      <c r="A10" s="5">
        <v>1</v>
      </c>
      <c r="B10" s="6" t="s">
        <v>22</v>
      </c>
      <c r="C10" s="7" t="s">
        <v>492</v>
      </c>
      <c r="D10" s="5" t="s">
        <v>29</v>
      </c>
      <c r="E10" s="6" t="s">
        <v>30</v>
      </c>
      <c r="F10" s="8" t="s">
        <v>31</v>
      </c>
      <c r="G10" s="8" t="s">
        <v>31</v>
      </c>
      <c r="H10" s="9"/>
      <c r="I10" s="9"/>
      <c r="J10" s="9"/>
      <c r="K10" s="9"/>
      <c r="L10" s="9">
        <v>4</v>
      </c>
      <c r="M10" s="9">
        <v>4</v>
      </c>
      <c r="N10" s="10"/>
      <c r="O10" s="9"/>
      <c r="P10" s="9"/>
      <c r="Q10" s="9"/>
      <c r="R10" s="9"/>
      <c r="S10" s="10"/>
      <c r="T10" s="9"/>
      <c r="U10" s="9"/>
      <c r="V10" s="9"/>
      <c r="W10" s="9"/>
      <c r="X10" s="9"/>
      <c r="Y10" s="6">
        <f>SUM(H10:X10)</f>
        <v>8</v>
      </c>
      <c r="Z10" s="6" t="s">
        <v>32</v>
      </c>
    </row>
    <row r="11" spans="1:26" ht="15.75">
      <c r="A11" s="5"/>
      <c r="B11" s="6"/>
      <c r="C11" s="5" t="s">
        <v>33</v>
      </c>
      <c r="D11" s="5"/>
      <c r="E11" s="5"/>
      <c r="F11" s="8"/>
      <c r="G11" s="8"/>
      <c r="H11" s="9"/>
      <c r="I11" s="9"/>
      <c r="J11" s="9"/>
      <c r="K11" s="9"/>
      <c r="L11" s="9"/>
      <c r="M11" s="9"/>
      <c r="N11" s="10"/>
      <c r="O11" s="9"/>
      <c r="P11" s="9"/>
      <c r="Q11" s="9"/>
      <c r="R11" s="9"/>
      <c r="S11" s="10"/>
      <c r="T11" s="9"/>
      <c r="U11" s="9"/>
      <c r="V11" s="9"/>
      <c r="W11" s="9"/>
      <c r="X11" s="9"/>
      <c r="Y11" s="6"/>
      <c r="Z11" s="6"/>
    </row>
    <row r="12" spans="1:26" ht="15.75">
      <c r="A12" s="11"/>
      <c r="B12" s="12"/>
      <c r="C12" s="11"/>
      <c r="D12" s="11"/>
      <c r="E12" s="11"/>
      <c r="F12" s="13"/>
      <c r="G12" s="13"/>
      <c r="H12" s="14"/>
      <c r="I12" s="14"/>
      <c r="J12" s="14"/>
      <c r="K12" s="14"/>
      <c r="L12" s="14"/>
      <c r="M12" s="14"/>
      <c r="N12" s="15"/>
      <c r="O12" s="14"/>
      <c r="P12" s="14"/>
      <c r="Q12" s="14"/>
      <c r="R12" s="14"/>
      <c r="S12" s="15"/>
      <c r="T12" s="14"/>
      <c r="U12" s="14"/>
      <c r="V12" s="14"/>
      <c r="W12" s="14"/>
      <c r="X12" s="14"/>
      <c r="Y12" s="12"/>
      <c r="Z12" s="12"/>
    </row>
    <row r="13" spans="1:26" ht="15.75">
      <c r="A13" s="16">
        <v>2</v>
      </c>
      <c r="B13" s="212" t="s">
        <v>23</v>
      </c>
      <c r="C13" s="18" t="s">
        <v>34</v>
      </c>
      <c r="D13" s="16" t="s">
        <v>35</v>
      </c>
      <c r="E13" s="17" t="s">
        <v>30</v>
      </c>
      <c r="F13" s="19" t="s">
        <v>36</v>
      </c>
      <c r="G13" s="19" t="s">
        <v>36</v>
      </c>
      <c r="H13" s="20"/>
      <c r="I13" s="20"/>
      <c r="J13" s="20"/>
      <c r="K13" s="20"/>
      <c r="L13" s="20"/>
      <c r="M13" s="20"/>
      <c r="N13" s="21">
        <v>5</v>
      </c>
      <c r="O13" s="20">
        <v>5</v>
      </c>
      <c r="P13" s="20">
        <v>5</v>
      </c>
      <c r="Q13" s="20">
        <v>5</v>
      </c>
      <c r="R13" s="20">
        <v>5</v>
      </c>
      <c r="S13" s="21"/>
      <c r="T13" s="20"/>
      <c r="U13" s="20"/>
      <c r="V13" s="20"/>
      <c r="W13" s="20"/>
      <c r="X13" s="20"/>
      <c r="Y13" s="17">
        <f>SUM(H13:X14)</f>
        <v>25</v>
      </c>
      <c r="Z13" s="17" t="s">
        <v>37</v>
      </c>
    </row>
    <row r="14" spans="1:26" ht="15.75">
      <c r="A14" s="5"/>
      <c r="B14" s="6"/>
      <c r="C14" s="5" t="s">
        <v>38</v>
      </c>
      <c r="D14" s="5"/>
      <c r="E14" s="6"/>
      <c r="F14" s="8"/>
      <c r="G14" s="8"/>
      <c r="H14" s="9"/>
      <c r="I14" s="9"/>
      <c r="J14" s="9"/>
      <c r="K14" s="9"/>
      <c r="L14" s="9"/>
      <c r="M14" s="9"/>
      <c r="N14" s="10"/>
      <c r="O14" s="9"/>
      <c r="P14" s="9"/>
      <c r="Q14" s="9"/>
      <c r="R14" s="9"/>
      <c r="S14" s="24"/>
      <c r="T14" s="23"/>
      <c r="U14" s="23"/>
      <c r="V14" s="9"/>
      <c r="W14" s="9"/>
      <c r="X14" s="9"/>
      <c r="Y14" s="6"/>
      <c r="Z14" s="6" t="s">
        <v>130</v>
      </c>
    </row>
    <row r="15" spans="1:26" ht="15.75">
      <c r="A15" s="11"/>
      <c r="B15" s="12"/>
      <c r="C15" s="11"/>
      <c r="D15" s="11"/>
      <c r="E15" s="11"/>
      <c r="F15" s="13"/>
      <c r="G15" s="13"/>
      <c r="H15" s="14"/>
      <c r="I15" s="14"/>
      <c r="J15" s="14"/>
      <c r="K15" s="14"/>
      <c r="L15" s="14"/>
      <c r="M15" s="14"/>
      <c r="N15" s="15"/>
      <c r="O15" s="14"/>
      <c r="P15" s="14"/>
      <c r="Q15" s="14"/>
      <c r="R15" s="14"/>
      <c r="S15" s="15"/>
      <c r="T15" s="14"/>
      <c r="U15" s="14"/>
      <c r="V15" s="14"/>
      <c r="W15" s="14"/>
      <c r="X15" s="14"/>
      <c r="Y15" s="12"/>
      <c r="Z15" s="12"/>
    </row>
    <row r="16" spans="1:26" ht="15.75">
      <c r="A16" s="16">
        <v>3</v>
      </c>
      <c r="B16" s="17" t="s">
        <v>24</v>
      </c>
      <c r="C16" s="18" t="s">
        <v>40</v>
      </c>
      <c r="D16" s="16" t="s">
        <v>35</v>
      </c>
      <c r="E16" s="17" t="s">
        <v>30</v>
      </c>
      <c r="F16" s="19" t="s">
        <v>41</v>
      </c>
      <c r="G16" s="19" t="s">
        <v>41</v>
      </c>
      <c r="H16" s="20"/>
      <c r="I16" s="20"/>
      <c r="J16" s="20"/>
      <c r="K16" s="20"/>
      <c r="L16" s="20"/>
      <c r="M16" s="20"/>
      <c r="N16" s="21"/>
      <c r="O16" s="20"/>
      <c r="P16" s="20"/>
      <c r="Q16" s="20"/>
      <c r="R16" s="20"/>
      <c r="S16" s="21">
        <v>4</v>
      </c>
      <c r="T16" s="20">
        <v>4</v>
      </c>
      <c r="U16" s="20">
        <v>4</v>
      </c>
      <c r="V16" s="20">
        <v>4</v>
      </c>
      <c r="W16" s="20">
        <v>4</v>
      </c>
      <c r="X16" s="20">
        <v>4</v>
      </c>
      <c r="Y16" s="17">
        <f>SUM(H16:X19)</f>
        <v>24</v>
      </c>
      <c r="Z16" s="17" t="s">
        <v>524</v>
      </c>
    </row>
    <row r="17" spans="1:26" ht="15.75">
      <c r="A17" s="5"/>
      <c r="B17" s="6"/>
      <c r="C17" s="5" t="s">
        <v>42</v>
      </c>
      <c r="D17" s="5"/>
      <c r="E17" s="6"/>
      <c r="F17" s="8"/>
      <c r="G17" s="8"/>
      <c r="H17" s="9"/>
      <c r="I17" s="9"/>
      <c r="J17" s="9"/>
      <c r="K17" s="9"/>
      <c r="L17" s="9"/>
      <c r="M17" s="9"/>
      <c r="N17" s="24"/>
      <c r="O17" s="23"/>
      <c r="P17" s="23"/>
      <c r="Q17" s="9"/>
      <c r="R17" s="9"/>
      <c r="S17" s="10"/>
      <c r="T17" s="9"/>
      <c r="U17" s="9"/>
      <c r="V17" s="9"/>
      <c r="W17" s="9"/>
      <c r="X17" s="9"/>
      <c r="Y17" s="6"/>
      <c r="Z17" s="6" t="s">
        <v>525</v>
      </c>
    </row>
    <row r="18" spans="1:26" ht="15.75">
      <c r="A18" s="5"/>
      <c r="B18" s="6"/>
      <c r="C18" s="5"/>
      <c r="D18" s="5"/>
      <c r="E18" s="6"/>
      <c r="F18" s="231"/>
      <c r="G18" s="231"/>
      <c r="H18" s="213"/>
      <c r="I18" s="213"/>
      <c r="J18" s="213"/>
      <c r="K18" s="213"/>
      <c r="L18" s="213"/>
      <c r="M18" s="213"/>
      <c r="N18" s="232"/>
      <c r="O18" s="233"/>
      <c r="P18" s="233"/>
      <c r="Q18" s="213"/>
      <c r="R18" s="213"/>
      <c r="S18" s="234"/>
      <c r="T18" s="213"/>
      <c r="U18" s="213"/>
      <c r="V18" s="213"/>
      <c r="W18" s="213"/>
      <c r="X18" s="213"/>
      <c r="Y18" s="6"/>
      <c r="Z18" s="6" t="s">
        <v>410</v>
      </c>
    </row>
    <row r="19" spans="1:26" ht="15.75">
      <c r="A19" s="11"/>
      <c r="B19" s="12"/>
      <c r="C19" s="11"/>
      <c r="D19" s="11"/>
      <c r="E19" s="12"/>
      <c r="F19" s="13"/>
      <c r="G19" s="13"/>
      <c r="H19" s="14"/>
      <c r="I19" s="14"/>
      <c r="J19" s="14"/>
      <c r="K19" s="14"/>
      <c r="L19" s="14"/>
      <c r="M19" s="14"/>
      <c r="N19" s="15"/>
      <c r="O19" s="14"/>
      <c r="P19" s="14"/>
      <c r="Q19" s="14"/>
      <c r="R19" s="14"/>
      <c r="S19" s="15"/>
      <c r="T19" s="14"/>
      <c r="U19" s="14"/>
      <c r="V19" s="14"/>
      <c r="W19" s="14"/>
      <c r="X19" s="14"/>
      <c r="Y19" s="12"/>
      <c r="Z19" s="12" t="s">
        <v>522</v>
      </c>
    </row>
    <row r="20" spans="1:26" ht="15.75">
      <c r="A20" s="16">
        <v>4</v>
      </c>
      <c r="B20" s="17" t="s">
        <v>25</v>
      </c>
      <c r="C20" s="18" t="s">
        <v>44</v>
      </c>
      <c r="D20" s="16" t="s">
        <v>35</v>
      </c>
      <c r="E20" s="17" t="s">
        <v>30</v>
      </c>
      <c r="F20" s="8" t="s">
        <v>45</v>
      </c>
      <c r="G20" s="8" t="s">
        <v>45</v>
      </c>
      <c r="H20" s="9">
        <v>2</v>
      </c>
      <c r="I20" s="9">
        <v>2</v>
      </c>
      <c r="J20" s="9">
        <v>2</v>
      </c>
      <c r="K20" s="9">
        <v>2</v>
      </c>
      <c r="L20" s="9">
        <v>2</v>
      </c>
      <c r="M20" s="9">
        <v>2</v>
      </c>
      <c r="N20" s="10"/>
      <c r="O20" s="9"/>
      <c r="P20" s="9"/>
      <c r="Q20" s="9"/>
      <c r="R20" s="9"/>
      <c r="S20" s="10">
        <v>2</v>
      </c>
      <c r="T20" s="9">
        <v>2</v>
      </c>
      <c r="U20" s="9">
        <v>2</v>
      </c>
      <c r="V20" s="9">
        <v>2</v>
      </c>
      <c r="W20" s="9">
        <v>2</v>
      </c>
      <c r="X20" s="9">
        <v>2</v>
      </c>
      <c r="Y20" s="17">
        <f>SUM(H20:X21)</f>
        <v>24</v>
      </c>
      <c r="Z20" s="17" t="s">
        <v>37</v>
      </c>
    </row>
    <row r="21" spans="1:26" ht="15.75">
      <c r="A21" s="5"/>
      <c r="B21" s="6"/>
      <c r="C21" s="5" t="s">
        <v>47</v>
      </c>
      <c r="D21" s="5"/>
      <c r="E21" s="5"/>
      <c r="F21" s="8"/>
      <c r="G21" s="8"/>
      <c r="H21" s="9"/>
      <c r="I21" s="9"/>
      <c r="J21" s="9"/>
      <c r="K21" s="9"/>
      <c r="L21" s="9"/>
      <c r="M21" s="9"/>
      <c r="N21" s="10"/>
      <c r="O21" s="9"/>
      <c r="P21" s="9"/>
      <c r="Q21" s="9"/>
      <c r="R21" s="9"/>
      <c r="S21" s="10"/>
      <c r="T21" s="9"/>
      <c r="U21" s="9"/>
      <c r="V21" s="9"/>
      <c r="W21" s="9"/>
      <c r="X21" s="9"/>
      <c r="Y21" s="6"/>
      <c r="Z21" s="6" t="s">
        <v>107</v>
      </c>
    </row>
    <row r="22" spans="1:26" ht="15.75">
      <c r="A22" s="11"/>
      <c r="B22" s="12"/>
      <c r="C22" s="11"/>
      <c r="D22" s="11"/>
      <c r="E22" s="12"/>
      <c r="F22" s="13"/>
      <c r="G22" s="13"/>
      <c r="H22" s="14"/>
      <c r="I22" s="14"/>
      <c r="J22" s="14"/>
      <c r="K22" s="14"/>
      <c r="L22" s="14"/>
      <c r="M22" s="14"/>
      <c r="N22" s="15"/>
      <c r="O22" s="14"/>
      <c r="P22" s="14"/>
      <c r="Q22" s="14"/>
      <c r="R22" s="14"/>
      <c r="S22" s="15"/>
      <c r="T22" s="14"/>
      <c r="U22" s="14"/>
      <c r="V22" s="14"/>
      <c r="W22" s="14"/>
      <c r="X22" s="14"/>
      <c r="Y22" s="12"/>
      <c r="Z22" s="12"/>
    </row>
    <row r="23" spans="1:26" ht="15.75">
      <c r="A23" s="16">
        <v>5</v>
      </c>
      <c r="B23" s="17" t="s">
        <v>26</v>
      </c>
      <c r="C23" s="18" t="s">
        <v>48</v>
      </c>
      <c r="D23" s="16" t="s">
        <v>35</v>
      </c>
      <c r="E23" s="17" t="s">
        <v>30</v>
      </c>
      <c r="F23" s="19" t="s">
        <v>49</v>
      </c>
      <c r="G23" s="19" t="s">
        <v>49</v>
      </c>
      <c r="H23" s="20">
        <v>2</v>
      </c>
      <c r="I23" s="20">
        <v>2</v>
      </c>
      <c r="J23" s="20">
        <v>2</v>
      </c>
      <c r="K23" s="20">
        <v>2</v>
      </c>
      <c r="L23" s="20">
        <v>2</v>
      </c>
      <c r="M23" s="20">
        <v>2</v>
      </c>
      <c r="N23" s="21"/>
      <c r="O23" s="20"/>
      <c r="P23" s="20"/>
      <c r="Q23" s="20"/>
      <c r="R23" s="20"/>
      <c r="S23" s="21">
        <v>2</v>
      </c>
      <c r="T23" s="20">
        <v>2</v>
      </c>
      <c r="U23" s="20">
        <v>2</v>
      </c>
      <c r="V23" s="20">
        <v>2</v>
      </c>
      <c r="W23" s="20">
        <v>2</v>
      </c>
      <c r="X23" s="20">
        <v>2</v>
      </c>
      <c r="Y23" s="17">
        <f>SUM(H23:X23)</f>
        <v>24</v>
      </c>
      <c r="Z23" s="17" t="s">
        <v>37</v>
      </c>
    </row>
    <row r="24" spans="1:26" ht="15.75">
      <c r="A24" s="5"/>
      <c r="B24" s="6"/>
      <c r="C24" s="5" t="s">
        <v>50</v>
      </c>
      <c r="D24" s="5"/>
      <c r="E24" s="5"/>
      <c r="F24" s="8"/>
      <c r="G24" s="8"/>
      <c r="H24" s="9"/>
      <c r="I24" s="9"/>
      <c r="J24" s="9"/>
      <c r="K24" s="9"/>
      <c r="L24" s="9"/>
      <c r="M24" s="9"/>
      <c r="N24" s="10"/>
      <c r="O24" s="9"/>
      <c r="P24" s="9"/>
      <c r="Q24" s="9"/>
      <c r="R24" s="9"/>
      <c r="S24" s="10"/>
      <c r="T24" s="9"/>
      <c r="U24" s="9"/>
      <c r="V24" s="9"/>
      <c r="W24" s="9"/>
      <c r="X24" s="9"/>
      <c r="Y24" s="6"/>
      <c r="Z24" s="6" t="s">
        <v>332</v>
      </c>
    </row>
    <row r="25" spans="1:26" ht="15.75">
      <c r="A25" s="11"/>
      <c r="B25" s="12"/>
      <c r="C25" s="25"/>
      <c r="D25" s="11"/>
      <c r="E25" s="11"/>
      <c r="F25" s="13"/>
      <c r="G25" s="13"/>
      <c r="H25" s="14"/>
      <c r="I25" s="14"/>
      <c r="J25" s="14"/>
      <c r="K25" s="14"/>
      <c r="L25" s="14"/>
      <c r="M25" s="14"/>
      <c r="N25" s="15"/>
      <c r="O25" s="14"/>
      <c r="P25" s="14"/>
      <c r="Q25" s="14"/>
      <c r="R25" s="14"/>
      <c r="S25" s="15"/>
      <c r="T25" s="14"/>
      <c r="U25" s="14"/>
      <c r="V25" s="14"/>
      <c r="W25" s="14"/>
      <c r="X25" s="14"/>
      <c r="Y25" s="12"/>
      <c r="Z25" s="11"/>
    </row>
    <row r="26" spans="1:26" ht="15.75">
      <c r="A26" s="16">
        <v>6</v>
      </c>
      <c r="B26" s="212" t="s">
        <v>27</v>
      </c>
      <c r="C26" s="18" t="s">
        <v>494</v>
      </c>
      <c r="D26" s="16" t="s">
        <v>35</v>
      </c>
      <c r="E26" s="17" t="s">
        <v>30</v>
      </c>
      <c r="F26" s="19" t="s">
        <v>53</v>
      </c>
      <c r="G26" s="19" t="s">
        <v>53</v>
      </c>
      <c r="H26" s="20"/>
      <c r="I26" s="20"/>
      <c r="J26" s="20"/>
      <c r="K26" s="20"/>
      <c r="L26" s="20"/>
      <c r="M26" s="20"/>
      <c r="N26" s="21">
        <v>4</v>
      </c>
      <c r="O26" s="20">
        <v>4</v>
      </c>
      <c r="P26" s="20">
        <v>4</v>
      </c>
      <c r="Q26" s="20">
        <v>4</v>
      </c>
      <c r="R26" s="20"/>
      <c r="S26" s="21">
        <v>4</v>
      </c>
      <c r="T26" s="20">
        <v>4</v>
      </c>
      <c r="U26" s="20"/>
      <c r="V26" s="20"/>
      <c r="W26" s="20"/>
      <c r="X26" s="20"/>
      <c r="Y26" s="17">
        <f>SUM(I26:X28)</f>
        <v>24</v>
      </c>
      <c r="Z26" s="17" t="s">
        <v>37</v>
      </c>
    </row>
    <row r="27" spans="1:26" ht="15.75">
      <c r="A27" s="5"/>
      <c r="B27" s="6"/>
      <c r="C27" s="5" t="s">
        <v>54</v>
      </c>
      <c r="D27" s="5"/>
      <c r="E27" s="5"/>
      <c r="F27" s="8"/>
      <c r="G27" s="8"/>
      <c r="H27" s="9"/>
      <c r="I27" s="9"/>
      <c r="J27" s="9"/>
      <c r="K27" s="9"/>
      <c r="L27" s="9"/>
      <c r="M27" s="9"/>
      <c r="N27" s="10"/>
      <c r="O27" s="9"/>
      <c r="P27" s="9"/>
      <c r="Q27" s="9"/>
      <c r="R27" s="9"/>
      <c r="S27" s="10"/>
      <c r="T27" s="9"/>
      <c r="U27" s="9"/>
      <c r="V27" s="26"/>
      <c r="W27" s="26"/>
      <c r="X27" s="26"/>
      <c r="Y27" s="27"/>
      <c r="Z27" s="6" t="s">
        <v>51</v>
      </c>
    </row>
    <row r="28" spans="1:26" ht="15.75">
      <c r="A28" s="11"/>
      <c r="B28" s="12"/>
      <c r="C28" s="11"/>
      <c r="D28" s="11"/>
      <c r="E28" s="11"/>
      <c r="F28" s="13"/>
      <c r="G28" s="13"/>
      <c r="H28" s="14"/>
      <c r="I28" s="14"/>
      <c r="J28" s="14"/>
      <c r="K28" s="14"/>
      <c r="L28" s="14"/>
      <c r="M28" s="14"/>
      <c r="N28" s="15"/>
      <c r="O28" s="14"/>
      <c r="P28" s="14"/>
      <c r="Q28" s="14"/>
      <c r="R28" s="14"/>
      <c r="S28" s="15"/>
      <c r="T28" s="14"/>
      <c r="U28" s="14"/>
      <c r="V28" s="14"/>
      <c r="W28" s="14"/>
      <c r="X28" s="14"/>
      <c r="Y28" s="12"/>
      <c r="Z28" s="11"/>
    </row>
    <row r="29" spans="1:26" ht="15.75">
      <c r="A29" s="16">
        <v>7</v>
      </c>
      <c r="B29" s="17" t="s">
        <v>57</v>
      </c>
      <c r="C29" s="18" t="s">
        <v>58</v>
      </c>
      <c r="D29" s="16" t="s">
        <v>35</v>
      </c>
      <c r="E29" s="17" t="s">
        <v>30</v>
      </c>
      <c r="F29" s="19" t="s">
        <v>41</v>
      </c>
      <c r="G29" s="19" t="s">
        <v>41</v>
      </c>
      <c r="H29" s="20">
        <v>4</v>
      </c>
      <c r="I29" s="20">
        <v>4</v>
      </c>
      <c r="J29" s="20">
        <v>4</v>
      </c>
      <c r="K29" s="20">
        <v>4</v>
      </c>
      <c r="L29" s="20">
        <v>4</v>
      </c>
      <c r="M29" s="20">
        <v>4</v>
      </c>
      <c r="N29" s="21"/>
      <c r="O29" s="20"/>
      <c r="P29" s="20"/>
      <c r="Q29" s="20"/>
      <c r="R29" s="20"/>
      <c r="S29" s="21"/>
      <c r="T29" s="20"/>
      <c r="U29" s="20"/>
      <c r="V29" s="20"/>
      <c r="W29" s="20"/>
      <c r="X29" s="20"/>
      <c r="Y29" s="17">
        <f>SUM(H29:X30)</f>
        <v>24</v>
      </c>
      <c r="Z29" s="17" t="s">
        <v>59</v>
      </c>
    </row>
    <row r="30" spans="1:26" ht="15.75">
      <c r="A30" s="5"/>
      <c r="B30" s="6"/>
      <c r="C30" s="5" t="s">
        <v>60</v>
      </c>
      <c r="D30" s="5"/>
      <c r="E30" s="5"/>
      <c r="F30" s="106"/>
      <c r="G30" s="8"/>
      <c r="H30" s="23"/>
      <c r="I30" s="23"/>
      <c r="J30" s="9"/>
      <c r="K30" s="9"/>
      <c r="L30" s="9"/>
      <c r="M30" s="9"/>
      <c r="N30" s="10"/>
      <c r="O30" s="9"/>
      <c r="P30" s="9"/>
      <c r="Q30" s="9"/>
      <c r="R30" s="9"/>
      <c r="S30" s="10"/>
      <c r="T30" s="9"/>
      <c r="U30" s="9"/>
      <c r="V30" s="9"/>
      <c r="W30" s="23"/>
      <c r="X30" s="23"/>
      <c r="Y30" s="6"/>
      <c r="Z30" s="6"/>
    </row>
    <row r="31" spans="1:26" ht="15.75">
      <c r="A31" s="11"/>
      <c r="B31" s="12"/>
      <c r="C31" s="11"/>
      <c r="D31" s="11"/>
      <c r="E31" s="11"/>
      <c r="F31" s="13"/>
      <c r="G31" s="13"/>
      <c r="H31" s="14"/>
      <c r="I31" s="14"/>
      <c r="J31" s="14"/>
      <c r="K31" s="14"/>
      <c r="L31" s="14"/>
      <c r="M31" s="14"/>
      <c r="N31" s="15"/>
      <c r="O31" s="14"/>
      <c r="P31" s="14"/>
      <c r="Q31" s="14"/>
      <c r="R31" s="14"/>
      <c r="S31" s="15"/>
      <c r="T31" s="14"/>
      <c r="U31" s="14"/>
      <c r="V31" s="14"/>
      <c r="W31" s="14"/>
      <c r="X31" s="14"/>
      <c r="Y31" s="12"/>
      <c r="Z31" s="11"/>
    </row>
    <row r="32" spans="1:26" ht="15.75">
      <c r="A32" s="16">
        <v>8</v>
      </c>
      <c r="B32" s="212" t="s">
        <v>61</v>
      </c>
      <c r="C32" s="18" t="s">
        <v>424</v>
      </c>
      <c r="D32" s="16" t="s">
        <v>35</v>
      </c>
      <c r="E32" s="17" t="s">
        <v>30</v>
      </c>
      <c r="F32" s="19" t="s">
        <v>62</v>
      </c>
      <c r="G32" s="19" t="s">
        <v>62</v>
      </c>
      <c r="H32" s="20"/>
      <c r="I32" s="20"/>
      <c r="J32" s="20"/>
      <c r="K32" s="20"/>
      <c r="L32" s="20"/>
      <c r="M32" s="20"/>
      <c r="N32" s="21">
        <v>4</v>
      </c>
      <c r="O32" s="20">
        <v>4</v>
      </c>
      <c r="P32" s="20">
        <v>4</v>
      </c>
      <c r="Q32" s="20">
        <v>4</v>
      </c>
      <c r="R32" s="20">
        <v>4</v>
      </c>
      <c r="S32" s="21">
        <v>4</v>
      </c>
      <c r="T32" s="20"/>
      <c r="U32" s="20"/>
      <c r="V32" s="20"/>
      <c r="W32" s="20"/>
      <c r="X32" s="20"/>
      <c r="Y32" s="17">
        <f>SUM(H32:X34)</f>
        <v>24</v>
      </c>
      <c r="Z32" s="16" t="s">
        <v>63</v>
      </c>
    </row>
    <row r="33" spans="1:26" ht="15.75">
      <c r="A33" s="5"/>
      <c r="B33" s="6"/>
      <c r="C33" s="5" t="s">
        <v>64</v>
      </c>
      <c r="D33" s="5"/>
      <c r="E33" s="5"/>
      <c r="F33" s="8"/>
      <c r="G33" s="8"/>
      <c r="H33" s="9"/>
      <c r="I33" s="9"/>
      <c r="J33" s="9"/>
      <c r="K33" s="9"/>
      <c r="L33" s="9"/>
      <c r="M33" s="9"/>
      <c r="N33" s="10"/>
      <c r="O33" s="9"/>
      <c r="P33" s="9"/>
      <c r="Q33" s="9"/>
      <c r="R33" s="9"/>
      <c r="S33" s="10"/>
      <c r="T33" s="9"/>
      <c r="U33" s="9"/>
      <c r="V33" s="9"/>
      <c r="W33" s="9"/>
      <c r="X33" s="9"/>
      <c r="Y33" s="6"/>
      <c r="Z33" s="6"/>
    </row>
    <row r="34" spans="1:26" ht="15.75">
      <c r="A34" s="11"/>
      <c r="B34" s="12"/>
      <c r="C34" s="11"/>
      <c r="D34" s="11"/>
      <c r="E34" s="11"/>
      <c r="F34" s="13"/>
      <c r="G34" s="13"/>
      <c r="H34" s="14"/>
      <c r="I34" s="14"/>
      <c r="J34" s="14"/>
      <c r="K34" s="14"/>
      <c r="L34" s="14"/>
      <c r="M34" s="14"/>
      <c r="N34" s="15"/>
      <c r="O34" s="14"/>
      <c r="P34" s="14"/>
      <c r="Q34" s="14"/>
      <c r="R34" s="14"/>
      <c r="S34" s="15"/>
      <c r="T34" s="14"/>
      <c r="U34" s="14"/>
      <c r="V34" s="14"/>
      <c r="W34" s="14"/>
      <c r="X34" s="14"/>
      <c r="Y34" s="12"/>
      <c r="Z34" s="11"/>
    </row>
    <row r="35" spans="1:26" ht="15.75">
      <c r="A35" s="16">
        <v>9</v>
      </c>
      <c r="B35" s="212" t="s">
        <v>65</v>
      </c>
      <c r="C35" s="18" t="s">
        <v>66</v>
      </c>
      <c r="D35" s="16" t="s">
        <v>35</v>
      </c>
      <c r="E35" s="17" t="s">
        <v>30</v>
      </c>
      <c r="F35" s="19" t="s">
        <v>67</v>
      </c>
      <c r="G35" s="59" t="s">
        <v>67</v>
      </c>
      <c r="H35" s="20"/>
      <c r="I35" s="20"/>
      <c r="J35" s="20"/>
      <c r="K35" s="20"/>
      <c r="L35" s="20"/>
      <c r="M35" s="20"/>
      <c r="N35" s="21"/>
      <c r="O35" s="20"/>
      <c r="P35" s="20"/>
      <c r="Q35" s="20"/>
      <c r="R35" s="20">
        <v>2</v>
      </c>
      <c r="S35" s="21">
        <v>2</v>
      </c>
      <c r="T35" s="20">
        <v>2</v>
      </c>
      <c r="U35" s="20">
        <v>2</v>
      </c>
      <c r="V35" s="20">
        <v>2</v>
      </c>
      <c r="W35" s="20">
        <v>2</v>
      </c>
      <c r="X35" s="20">
        <v>2</v>
      </c>
      <c r="Y35" s="17">
        <f>SUM(H35:X36)</f>
        <v>25</v>
      </c>
      <c r="Z35" s="17" t="s">
        <v>37</v>
      </c>
    </row>
    <row r="36" spans="1:26" ht="15.75">
      <c r="A36" s="5"/>
      <c r="B36" s="124"/>
      <c r="C36" s="5" t="s">
        <v>68</v>
      </c>
      <c r="D36" s="5"/>
      <c r="E36" s="5"/>
      <c r="F36" s="8" t="s">
        <v>493</v>
      </c>
      <c r="G36" s="8"/>
      <c r="H36" s="9"/>
      <c r="I36" s="9"/>
      <c r="J36" s="9"/>
      <c r="K36" s="9"/>
      <c r="L36" s="9"/>
      <c r="M36" s="9"/>
      <c r="N36" s="10">
        <v>1</v>
      </c>
      <c r="O36" s="9">
        <v>1</v>
      </c>
      <c r="P36" s="9">
        <v>1</v>
      </c>
      <c r="Q36" s="9">
        <v>1</v>
      </c>
      <c r="R36" s="9">
        <v>1</v>
      </c>
      <c r="S36" s="10">
        <v>1</v>
      </c>
      <c r="T36" s="9">
        <v>1</v>
      </c>
      <c r="U36" s="9">
        <v>1</v>
      </c>
      <c r="V36" s="9">
        <v>1</v>
      </c>
      <c r="W36" s="9">
        <v>1</v>
      </c>
      <c r="X36" s="9">
        <v>1</v>
      </c>
      <c r="Y36" s="6"/>
      <c r="Z36" s="6" t="s">
        <v>512</v>
      </c>
    </row>
    <row r="37" spans="1:26" ht="15.75">
      <c r="A37" s="11"/>
      <c r="B37" s="12"/>
      <c r="C37" s="11"/>
      <c r="D37" s="11"/>
      <c r="E37" s="11"/>
      <c r="F37" s="13"/>
      <c r="G37" s="13"/>
      <c r="H37" s="14"/>
      <c r="I37" s="14"/>
      <c r="J37" s="14"/>
      <c r="K37" s="14"/>
      <c r="L37" s="14"/>
      <c r="M37" s="14"/>
      <c r="N37" s="15"/>
      <c r="O37" s="14"/>
      <c r="P37" s="14"/>
      <c r="Q37" s="14"/>
      <c r="R37" s="14"/>
      <c r="S37" s="15"/>
      <c r="T37" s="14"/>
      <c r="U37" s="14"/>
      <c r="V37" s="14"/>
      <c r="W37" s="14"/>
      <c r="X37" s="14"/>
      <c r="Y37" s="12"/>
      <c r="Z37" s="11"/>
    </row>
    <row r="38" spans="1:26" ht="15.75">
      <c r="A38" s="348" t="s">
        <v>4</v>
      </c>
      <c r="B38" s="4"/>
      <c r="C38" s="348" t="s">
        <v>6</v>
      </c>
      <c r="D38" s="4" t="s">
        <v>7</v>
      </c>
      <c r="E38" s="4" t="s">
        <v>8</v>
      </c>
      <c r="F38" s="4" t="s">
        <v>9</v>
      </c>
      <c r="G38" s="4" t="s">
        <v>9</v>
      </c>
      <c r="H38" s="348" t="s">
        <v>10</v>
      </c>
      <c r="I38" s="348"/>
      <c r="J38" s="348"/>
      <c r="K38" s="348"/>
      <c r="L38" s="348"/>
      <c r="M38" s="348"/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/>
      <c r="Z38" s="348" t="s">
        <v>69</v>
      </c>
    </row>
    <row r="39" spans="1:26" ht="15.75">
      <c r="A39" s="348"/>
      <c r="B39" s="79" t="s">
        <v>5</v>
      </c>
      <c r="C39" s="348"/>
      <c r="D39" s="349" t="s">
        <v>12</v>
      </c>
      <c r="E39" s="349" t="s">
        <v>13</v>
      </c>
      <c r="F39" s="79" t="s">
        <v>14</v>
      </c>
      <c r="G39" s="79" t="s">
        <v>15</v>
      </c>
      <c r="H39" s="351" t="s">
        <v>16</v>
      </c>
      <c r="I39" s="352"/>
      <c r="J39" s="352"/>
      <c r="K39" s="352"/>
      <c r="L39" s="352"/>
      <c r="M39" s="352"/>
      <c r="N39" s="353" t="s">
        <v>17</v>
      </c>
      <c r="O39" s="352"/>
      <c r="P39" s="352"/>
      <c r="Q39" s="352"/>
      <c r="R39" s="352"/>
      <c r="S39" s="353" t="s">
        <v>18</v>
      </c>
      <c r="T39" s="352"/>
      <c r="U39" s="352"/>
      <c r="V39" s="352"/>
      <c r="W39" s="352"/>
      <c r="X39" s="352"/>
      <c r="Y39" s="348" t="s">
        <v>19</v>
      </c>
      <c r="Z39" s="348"/>
    </row>
    <row r="40" spans="1:26" ht="15.75">
      <c r="A40" s="348"/>
      <c r="B40" s="80"/>
      <c r="C40" s="348"/>
      <c r="D40" s="350"/>
      <c r="E40" s="350"/>
      <c r="F40" s="80" t="s">
        <v>20</v>
      </c>
      <c r="G40" s="80" t="s">
        <v>21</v>
      </c>
      <c r="H40" s="183" t="s">
        <v>22</v>
      </c>
      <c r="I40" s="183" t="s">
        <v>23</v>
      </c>
      <c r="J40" s="183" t="s">
        <v>24</v>
      </c>
      <c r="K40" s="183" t="s">
        <v>25</v>
      </c>
      <c r="L40" s="183" t="s">
        <v>26</v>
      </c>
      <c r="M40" s="183" t="s">
        <v>27</v>
      </c>
      <c r="N40" s="184" t="s">
        <v>22</v>
      </c>
      <c r="O40" s="211" t="s">
        <v>23</v>
      </c>
      <c r="P40" s="211" t="s">
        <v>24</v>
      </c>
      <c r="Q40" s="211" t="s">
        <v>25</v>
      </c>
      <c r="R40" s="211" t="s">
        <v>26</v>
      </c>
      <c r="S40" s="184" t="s">
        <v>22</v>
      </c>
      <c r="T40" s="183" t="s">
        <v>23</v>
      </c>
      <c r="U40" s="183" t="s">
        <v>24</v>
      </c>
      <c r="V40" s="183" t="s">
        <v>25</v>
      </c>
      <c r="W40" s="183" t="s">
        <v>26</v>
      </c>
      <c r="X40" s="183" t="s">
        <v>27</v>
      </c>
      <c r="Y40" s="348"/>
      <c r="Z40" s="348"/>
    </row>
    <row r="41" spans="1:26" ht="15.75">
      <c r="A41" s="5">
        <v>10</v>
      </c>
      <c r="B41" s="6" t="s">
        <v>70</v>
      </c>
      <c r="C41" s="7" t="s">
        <v>71</v>
      </c>
      <c r="D41" s="5" t="s">
        <v>35</v>
      </c>
      <c r="E41" s="6" t="s">
        <v>30</v>
      </c>
      <c r="F41" s="8" t="s">
        <v>31</v>
      </c>
      <c r="G41" s="8" t="s">
        <v>31</v>
      </c>
      <c r="H41" s="9"/>
      <c r="I41" s="9"/>
      <c r="J41" s="9"/>
      <c r="K41" s="9"/>
      <c r="L41" s="9"/>
      <c r="M41" s="9"/>
      <c r="N41" s="10"/>
      <c r="O41" s="9"/>
      <c r="P41" s="9"/>
      <c r="Q41" s="9"/>
      <c r="R41" s="9"/>
      <c r="S41" s="10">
        <v>4</v>
      </c>
      <c r="T41" s="9">
        <v>4</v>
      </c>
      <c r="U41" s="9">
        <v>4</v>
      </c>
      <c r="V41" s="9">
        <v>4</v>
      </c>
      <c r="W41" s="9">
        <v>4</v>
      </c>
      <c r="X41" s="9">
        <v>4</v>
      </c>
      <c r="Y41" s="6">
        <f>SUM(H41:X42)</f>
        <v>24</v>
      </c>
      <c r="Z41" s="6" t="s">
        <v>37</v>
      </c>
    </row>
    <row r="42" spans="1:26" ht="15.75">
      <c r="A42" s="5"/>
      <c r="B42" s="6"/>
      <c r="C42" s="5" t="s">
        <v>72</v>
      </c>
      <c r="D42" s="5"/>
      <c r="E42" s="5"/>
      <c r="F42" s="8"/>
      <c r="G42" s="8"/>
      <c r="H42" s="9"/>
      <c r="I42" s="9"/>
      <c r="J42" s="9"/>
      <c r="K42" s="9"/>
      <c r="L42" s="9"/>
      <c r="M42" s="9"/>
      <c r="N42" s="10"/>
      <c r="O42" s="9"/>
      <c r="P42" s="9"/>
      <c r="Q42" s="9"/>
      <c r="R42" s="9"/>
      <c r="S42" s="10"/>
      <c r="T42" s="9"/>
      <c r="U42" s="9"/>
      <c r="V42" s="9"/>
      <c r="W42" s="9"/>
      <c r="X42" s="9"/>
      <c r="Y42" s="6"/>
      <c r="Z42" s="6" t="s">
        <v>125</v>
      </c>
    </row>
    <row r="43" spans="1:26" ht="15.75">
      <c r="A43" s="11"/>
      <c r="B43" s="12"/>
      <c r="C43" s="11"/>
      <c r="D43" s="11"/>
      <c r="E43" s="11"/>
      <c r="F43" s="13"/>
      <c r="G43" s="13"/>
      <c r="H43" s="14"/>
      <c r="I43" s="14"/>
      <c r="J43" s="14"/>
      <c r="K43" s="14"/>
      <c r="L43" s="14"/>
      <c r="M43" s="14"/>
      <c r="N43" s="15"/>
      <c r="O43" s="14"/>
      <c r="P43" s="14"/>
      <c r="Q43" s="14"/>
      <c r="R43" s="14"/>
      <c r="S43" s="15"/>
      <c r="T43" s="14"/>
      <c r="U43" s="14"/>
      <c r="V43" s="14"/>
      <c r="W43" s="14"/>
      <c r="X43" s="14"/>
      <c r="Y43" s="12"/>
      <c r="Z43" s="11"/>
    </row>
    <row r="44" spans="1:26" ht="15.75">
      <c r="A44" s="16">
        <v>11</v>
      </c>
      <c r="B44" s="17" t="s">
        <v>73</v>
      </c>
      <c r="C44" s="18" t="s">
        <v>74</v>
      </c>
      <c r="D44" s="16" t="s">
        <v>35</v>
      </c>
      <c r="E44" s="17" t="s">
        <v>30</v>
      </c>
      <c r="F44" s="19" t="s">
        <v>75</v>
      </c>
      <c r="G44" s="19" t="s">
        <v>75</v>
      </c>
      <c r="H44" s="31">
        <v>2</v>
      </c>
      <c r="I44" s="31">
        <v>2</v>
      </c>
      <c r="J44" s="31">
        <v>2</v>
      </c>
      <c r="K44" s="31">
        <v>2</v>
      </c>
      <c r="L44" s="31">
        <v>2</v>
      </c>
      <c r="M44" s="31">
        <v>2</v>
      </c>
      <c r="N44" s="21"/>
      <c r="O44" s="20"/>
      <c r="P44" s="20"/>
      <c r="Q44" s="20"/>
      <c r="R44" s="20"/>
      <c r="S44" s="21">
        <v>2</v>
      </c>
      <c r="T44" s="20">
        <v>2</v>
      </c>
      <c r="U44" s="20">
        <v>2</v>
      </c>
      <c r="V44" s="20">
        <v>2</v>
      </c>
      <c r="W44" s="20">
        <v>2</v>
      </c>
      <c r="X44" s="20">
        <v>2</v>
      </c>
      <c r="Y44" s="17">
        <f>SUM(H44:X46)</f>
        <v>24</v>
      </c>
      <c r="Z44" s="17" t="s">
        <v>37</v>
      </c>
    </row>
    <row r="45" spans="1:26" ht="15.75">
      <c r="A45" s="5"/>
      <c r="B45" s="6"/>
      <c r="C45" s="5" t="s">
        <v>76</v>
      </c>
      <c r="D45" s="5"/>
      <c r="E45" s="5"/>
      <c r="F45" s="8"/>
      <c r="G45" s="8"/>
      <c r="H45" s="9"/>
      <c r="I45" s="9"/>
      <c r="J45" s="9"/>
      <c r="K45" s="9"/>
      <c r="L45" s="9"/>
      <c r="M45" s="9"/>
      <c r="N45" s="24"/>
      <c r="O45" s="23"/>
      <c r="P45" s="23"/>
      <c r="Q45" s="9"/>
      <c r="R45" s="9"/>
      <c r="S45" s="10"/>
      <c r="T45" s="9"/>
      <c r="U45" s="9"/>
      <c r="V45" s="9"/>
      <c r="W45" s="9"/>
      <c r="X45" s="9"/>
      <c r="Y45" s="6"/>
      <c r="Z45" s="6" t="s">
        <v>144</v>
      </c>
    </row>
    <row r="46" spans="1:26" ht="15.75">
      <c r="A46" s="11"/>
      <c r="B46" s="12"/>
      <c r="C46" s="11"/>
      <c r="D46" s="11"/>
      <c r="E46" s="11"/>
      <c r="F46" s="13"/>
      <c r="G46" s="13"/>
      <c r="H46" s="14"/>
      <c r="I46" s="14"/>
      <c r="J46" s="14"/>
      <c r="K46" s="14"/>
      <c r="L46" s="14"/>
      <c r="M46" s="14"/>
      <c r="N46" s="15"/>
      <c r="O46" s="14"/>
      <c r="P46" s="14"/>
      <c r="Q46" s="14"/>
      <c r="R46" s="14"/>
      <c r="S46" s="15"/>
      <c r="T46" s="14"/>
      <c r="U46" s="14"/>
      <c r="V46" s="14"/>
      <c r="W46" s="14"/>
      <c r="X46" s="14"/>
      <c r="Y46" s="12"/>
      <c r="Z46" s="12"/>
    </row>
    <row r="47" spans="1:26" ht="15.75">
      <c r="A47" s="16">
        <v>12</v>
      </c>
      <c r="B47" s="17" t="s">
        <v>78</v>
      </c>
      <c r="C47" s="18" t="s">
        <v>79</v>
      </c>
      <c r="D47" s="16" t="s">
        <v>35</v>
      </c>
      <c r="E47" s="17" t="s">
        <v>30</v>
      </c>
      <c r="F47" s="19" t="s">
        <v>80</v>
      </c>
      <c r="G47" s="59" t="s">
        <v>80</v>
      </c>
      <c r="H47" s="20">
        <v>2</v>
      </c>
      <c r="I47" s="20">
        <v>2</v>
      </c>
      <c r="J47" s="20">
        <v>2</v>
      </c>
      <c r="K47" s="20">
        <v>2</v>
      </c>
      <c r="L47" s="20">
        <v>2</v>
      </c>
      <c r="M47" s="20">
        <v>2</v>
      </c>
      <c r="N47" s="21"/>
      <c r="O47" s="20"/>
      <c r="P47" s="20"/>
      <c r="Q47" s="20"/>
      <c r="R47" s="20"/>
      <c r="S47" s="21"/>
      <c r="T47" s="20"/>
      <c r="U47" s="20"/>
      <c r="V47" s="20"/>
      <c r="W47" s="20"/>
      <c r="X47" s="20"/>
      <c r="Y47" s="17">
        <f>SUM(H47:X48)</f>
        <v>12</v>
      </c>
      <c r="Z47" s="17" t="s">
        <v>81</v>
      </c>
    </row>
    <row r="48" spans="1:26" ht="15.75">
      <c r="A48" s="5"/>
      <c r="B48" s="6"/>
      <c r="C48" s="5" t="s">
        <v>82</v>
      </c>
      <c r="D48" s="5"/>
      <c r="E48" s="5"/>
      <c r="F48" s="106"/>
      <c r="G48" s="106"/>
      <c r="H48" s="23"/>
      <c r="I48" s="23"/>
      <c r="J48" s="23"/>
      <c r="K48" s="23"/>
      <c r="L48" s="23"/>
      <c r="M48" s="23"/>
      <c r="N48" s="24"/>
      <c r="O48" s="9"/>
      <c r="P48" s="9"/>
      <c r="Q48" s="9"/>
      <c r="R48" s="9"/>
      <c r="S48" s="24"/>
      <c r="T48" s="23"/>
      <c r="U48" s="9"/>
      <c r="V48" s="9"/>
      <c r="W48" s="9"/>
      <c r="X48" s="9"/>
      <c r="Y48" s="6"/>
      <c r="Z48" s="6"/>
    </row>
    <row r="49" spans="1:26" ht="15.75">
      <c r="A49" s="11"/>
      <c r="B49" s="12"/>
      <c r="C49" s="11"/>
      <c r="D49" s="11"/>
      <c r="E49" s="11"/>
      <c r="F49" s="13"/>
      <c r="G49" s="13"/>
      <c r="H49" s="14"/>
      <c r="I49" s="14"/>
      <c r="J49" s="14"/>
      <c r="K49" s="14"/>
      <c r="L49" s="14"/>
      <c r="M49" s="14"/>
      <c r="N49" s="15"/>
      <c r="O49" s="14"/>
      <c r="P49" s="14"/>
      <c r="Q49" s="14"/>
      <c r="R49" s="14"/>
      <c r="S49" s="15"/>
      <c r="T49" s="14"/>
      <c r="U49" s="14"/>
      <c r="V49" s="14"/>
      <c r="W49" s="14"/>
      <c r="X49" s="14"/>
      <c r="Y49" s="12"/>
      <c r="Z49" s="12"/>
    </row>
    <row r="50" spans="1:26" ht="15.75">
      <c r="A50" s="16">
        <v>13</v>
      </c>
      <c r="B50" s="212" t="s">
        <v>83</v>
      </c>
      <c r="C50" s="18" t="s">
        <v>84</v>
      </c>
      <c r="D50" s="16" t="s">
        <v>35</v>
      </c>
      <c r="E50" s="17" t="s">
        <v>30</v>
      </c>
      <c r="F50" s="235" t="s">
        <v>41</v>
      </c>
      <c r="G50" s="235" t="s">
        <v>41</v>
      </c>
      <c r="H50" s="236"/>
      <c r="I50" s="236"/>
      <c r="J50" s="236"/>
      <c r="K50" s="236"/>
      <c r="L50" s="236"/>
      <c r="M50" s="236"/>
      <c r="N50" s="237">
        <v>4</v>
      </c>
      <c r="O50" s="236">
        <v>4</v>
      </c>
      <c r="P50" s="236">
        <v>4</v>
      </c>
      <c r="Q50" s="236">
        <v>4</v>
      </c>
      <c r="R50" s="236">
        <v>4</v>
      </c>
      <c r="S50" s="237"/>
      <c r="T50" s="236"/>
      <c r="U50" s="236"/>
      <c r="V50" s="236"/>
      <c r="W50" s="236"/>
      <c r="X50" s="236"/>
      <c r="Y50" s="238">
        <f>SUM(H50:X51)</f>
        <v>20</v>
      </c>
      <c r="Z50" s="17" t="s">
        <v>531</v>
      </c>
    </row>
    <row r="51" spans="1:26" ht="15.75">
      <c r="A51" s="5"/>
      <c r="B51" s="6"/>
      <c r="C51" s="5" t="s">
        <v>85</v>
      </c>
      <c r="D51" s="5"/>
      <c r="E51" s="5"/>
      <c r="F51" s="239" t="s">
        <v>226</v>
      </c>
      <c r="G51" s="239"/>
      <c r="H51" s="240"/>
      <c r="I51" s="240"/>
      <c r="J51" s="240"/>
      <c r="K51" s="240"/>
      <c r="L51" s="240"/>
      <c r="M51" s="240"/>
      <c r="N51" s="241"/>
      <c r="O51" s="240"/>
      <c r="P51" s="240"/>
      <c r="Q51" s="240"/>
      <c r="R51" s="242" t="s">
        <v>435</v>
      </c>
      <c r="S51" s="241"/>
      <c r="T51" s="240"/>
      <c r="U51" s="240"/>
      <c r="V51" s="242"/>
      <c r="W51" s="243"/>
      <c r="X51" s="242" t="s">
        <v>435</v>
      </c>
      <c r="Y51" s="244" t="s">
        <v>436</v>
      </c>
      <c r="Z51" s="6" t="s">
        <v>448</v>
      </c>
    </row>
    <row r="52" spans="1:26" ht="15.75">
      <c r="A52" s="11"/>
      <c r="B52" s="12"/>
      <c r="C52" s="11"/>
      <c r="D52" s="11"/>
      <c r="E52" s="11"/>
      <c r="F52" s="245"/>
      <c r="G52" s="245"/>
      <c r="H52" s="246"/>
      <c r="I52" s="246"/>
      <c r="J52" s="246"/>
      <c r="K52" s="246"/>
      <c r="L52" s="246"/>
      <c r="M52" s="246"/>
      <c r="N52" s="247"/>
      <c r="O52" s="246"/>
      <c r="P52" s="246"/>
      <c r="Q52" s="246"/>
      <c r="R52" s="246"/>
      <c r="S52" s="247"/>
      <c r="T52" s="246"/>
      <c r="U52" s="246"/>
      <c r="V52" s="246"/>
      <c r="W52" s="246"/>
      <c r="X52" s="246"/>
      <c r="Y52" s="248"/>
      <c r="Z52" s="12"/>
    </row>
    <row r="53" spans="1:26" ht="15.75">
      <c r="A53" s="16">
        <v>14</v>
      </c>
      <c r="B53" s="17" t="s">
        <v>86</v>
      </c>
      <c r="C53" s="18" t="s">
        <v>87</v>
      </c>
      <c r="D53" s="16" t="s">
        <v>35</v>
      </c>
      <c r="E53" s="17" t="s">
        <v>30</v>
      </c>
      <c r="F53" s="235" t="s">
        <v>88</v>
      </c>
      <c r="G53" s="235" t="s">
        <v>88</v>
      </c>
      <c r="H53" s="236"/>
      <c r="I53" s="236"/>
      <c r="J53" s="236"/>
      <c r="K53" s="236"/>
      <c r="L53" s="236"/>
      <c r="M53" s="236"/>
      <c r="N53" s="237">
        <v>2</v>
      </c>
      <c r="O53" s="236">
        <v>2</v>
      </c>
      <c r="P53" s="236">
        <v>2</v>
      </c>
      <c r="Q53" s="236">
        <v>2</v>
      </c>
      <c r="R53" s="236">
        <v>2</v>
      </c>
      <c r="S53" s="237"/>
      <c r="T53" s="236"/>
      <c r="U53" s="236"/>
      <c r="V53" s="236"/>
      <c r="W53" s="236"/>
      <c r="X53" s="236"/>
      <c r="Y53" s="238">
        <f>SUM(H53:X55)</f>
        <v>10</v>
      </c>
      <c r="Z53" s="6" t="s">
        <v>530</v>
      </c>
    </row>
    <row r="54" spans="1:26" ht="15.75">
      <c r="A54" s="5"/>
      <c r="B54" s="6"/>
      <c r="C54" s="5" t="s">
        <v>82</v>
      </c>
      <c r="D54" s="5"/>
      <c r="E54" s="5"/>
      <c r="F54" s="239" t="s">
        <v>226</v>
      </c>
      <c r="G54" s="239"/>
      <c r="H54" s="240"/>
      <c r="I54" s="240"/>
      <c r="J54" s="240"/>
      <c r="K54" s="240"/>
      <c r="L54" s="240"/>
      <c r="M54" s="240"/>
      <c r="N54" s="241"/>
      <c r="O54" s="240"/>
      <c r="P54" s="249"/>
      <c r="Q54" s="250"/>
      <c r="R54" s="250"/>
      <c r="S54" s="251" t="s">
        <v>435</v>
      </c>
      <c r="T54" s="242" t="s">
        <v>435</v>
      </c>
      <c r="U54" s="242" t="s">
        <v>435</v>
      </c>
      <c r="V54" s="242" t="s">
        <v>435</v>
      </c>
      <c r="W54" s="242" t="s">
        <v>435</v>
      </c>
      <c r="X54" s="240"/>
      <c r="Y54" s="244" t="s">
        <v>511</v>
      </c>
      <c r="Z54" s="6" t="s">
        <v>448</v>
      </c>
    </row>
    <row r="55" spans="1:26" ht="15.75">
      <c r="A55" s="11"/>
      <c r="B55" s="12"/>
      <c r="C55" s="11"/>
      <c r="D55" s="11"/>
      <c r="E55" s="11"/>
      <c r="F55" s="245"/>
      <c r="G55" s="245"/>
      <c r="H55" s="246"/>
      <c r="I55" s="246"/>
      <c r="J55" s="246"/>
      <c r="K55" s="246"/>
      <c r="L55" s="246"/>
      <c r="M55" s="246"/>
      <c r="N55" s="247"/>
      <c r="O55" s="246"/>
      <c r="P55" s="246"/>
      <c r="Q55" s="246"/>
      <c r="R55" s="250"/>
      <c r="S55" s="247"/>
      <c r="T55" s="246"/>
      <c r="U55" s="246"/>
      <c r="V55" s="246"/>
      <c r="W55" s="246"/>
      <c r="X55" s="246"/>
      <c r="Y55" s="252"/>
      <c r="Z55" s="12"/>
    </row>
    <row r="56" spans="1:26" ht="15.75">
      <c r="A56" s="16">
        <v>15</v>
      </c>
      <c r="B56" s="17" t="s">
        <v>90</v>
      </c>
      <c r="C56" s="18" t="s">
        <v>91</v>
      </c>
      <c r="D56" s="16" t="s">
        <v>35</v>
      </c>
      <c r="E56" s="17" t="s">
        <v>30</v>
      </c>
      <c r="F56" s="235" t="s">
        <v>62</v>
      </c>
      <c r="G56" s="235" t="s">
        <v>62</v>
      </c>
      <c r="H56" s="236">
        <v>4</v>
      </c>
      <c r="I56" s="236">
        <v>4</v>
      </c>
      <c r="J56" s="236">
        <v>4</v>
      </c>
      <c r="K56" s="236">
        <v>4</v>
      </c>
      <c r="L56" s="236"/>
      <c r="M56" s="236"/>
      <c r="N56" s="237"/>
      <c r="O56" s="236"/>
      <c r="P56" s="236"/>
      <c r="Q56" s="236"/>
      <c r="R56" s="236"/>
      <c r="S56" s="237"/>
      <c r="T56" s="236"/>
      <c r="U56" s="236"/>
      <c r="V56" s="236"/>
      <c r="W56" s="236"/>
      <c r="X56" s="236"/>
      <c r="Y56" s="238">
        <f>SUM(H56:X56)</f>
        <v>16</v>
      </c>
      <c r="Z56" s="17"/>
    </row>
    <row r="57" spans="1:26" ht="15.75">
      <c r="A57" s="5"/>
      <c r="B57" s="6"/>
      <c r="C57" s="5" t="s">
        <v>92</v>
      </c>
      <c r="D57" s="5"/>
      <c r="E57" s="5"/>
      <c r="F57" s="239"/>
      <c r="G57" s="239"/>
      <c r="H57" s="240"/>
      <c r="I57" s="240"/>
      <c r="J57" s="240"/>
      <c r="K57" s="240"/>
      <c r="L57" s="240"/>
      <c r="M57" s="240"/>
      <c r="N57" s="241"/>
      <c r="O57" s="240"/>
      <c r="P57" s="240"/>
      <c r="Q57" s="240"/>
      <c r="R57" s="240"/>
      <c r="S57" s="241"/>
      <c r="T57" s="240"/>
      <c r="U57" s="240"/>
      <c r="V57" s="240"/>
      <c r="W57" s="240"/>
      <c r="X57" s="240"/>
      <c r="Y57" s="253"/>
      <c r="Z57" s="6"/>
    </row>
    <row r="58" spans="1:26" ht="15.75">
      <c r="A58" s="11"/>
      <c r="B58" s="12"/>
      <c r="C58" s="11"/>
      <c r="D58" s="11"/>
      <c r="E58" s="11"/>
      <c r="F58" s="245"/>
      <c r="G58" s="245"/>
      <c r="H58" s="246"/>
      <c r="I58" s="246"/>
      <c r="J58" s="246"/>
      <c r="K58" s="246"/>
      <c r="L58" s="246"/>
      <c r="M58" s="246"/>
      <c r="N58" s="247"/>
      <c r="O58" s="246"/>
      <c r="P58" s="246"/>
      <c r="Q58" s="246"/>
      <c r="R58" s="246"/>
      <c r="S58" s="247"/>
      <c r="T58" s="246"/>
      <c r="U58" s="246"/>
      <c r="V58" s="246"/>
      <c r="W58" s="246"/>
      <c r="X58" s="246"/>
      <c r="Y58" s="248"/>
      <c r="Z58" s="11"/>
    </row>
    <row r="59" spans="1:26" ht="15.75">
      <c r="A59" s="16">
        <v>16</v>
      </c>
      <c r="B59" s="17" t="s">
        <v>94</v>
      </c>
      <c r="C59" s="18" t="s">
        <v>95</v>
      </c>
      <c r="D59" s="16" t="s">
        <v>35</v>
      </c>
      <c r="E59" s="17" t="s">
        <v>30</v>
      </c>
      <c r="F59" s="235" t="s">
        <v>62</v>
      </c>
      <c r="G59" s="235" t="s">
        <v>62</v>
      </c>
      <c r="H59" s="236"/>
      <c r="I59" s="236"/>
      <c r="J59" s="236"/>
      <c r="K59" s="236"/>
      <c r="L59" s="236"/>
      <c r="M59" s="236">
        <v>4</v>
      </c>
      <c r="N59" s="237"/>
      <c r="O59" s="236"/>
      <c r="P59" s="236"/>
      <c r="Q59" s="236"/>
      <c r="R59" s="236"/>
      <c r="S59" s="237"/>
      <c r="T59" s="236">
        <v>4</v>
      </c>
      <c r="U59" s="236">
        <v>4</v>
      </c>
      <c r="V59" s="236">
        <v>4</v>
      </c>
      <c r="W59" s="236">
        <v>4</v>
      </c>
      <c r="X59" s="236">
        <v>4</v>
      </c>
      <c r="Y59" s="238">
        <f>SUM(H59:X59)</f>
        <v>24</v>
      </c>
      <c r="Z59" s="17" t="s">
        <v>96</v>
      </c>
    </row>
    <row r="60" spans="1:26" ht="15.75">
      <c r="A60" s="5"/>
      <c r="B60" s="6"/>
      <c r="C60" s="5" t="s">
        <v>97</v>
      </c>
      <c r="D60" s="5"/>
      <c r="E60" s="5"/>
      <c r="F60" s="239"/>
      <c r="G60" s="239"/>
      <c r="H60" s="240"/>
      <c r="I60" s="240"/>
      <c r="J60" s="240"/>
      <c r="K60" s="240"/>
      <c r="L60" s="240"/>
      <c r="M60" s="240"/>
      <c r="N60" s="241"/>
      <c r="O60" s="240"/>
      <c r="P60" s="240"/>
      <c r="Q60" s="240"/>
      <c r="R60" s="240"/>
      <c r="S60" s="241"/>
      <c r="T60" s="240"/>
      <c r="U60" s="240"/>
      <c r="V60" s="240"/>
      <c r="W60" s="240"/>
      <c r="X60" s="240"/>
      <c r="Y60" s="253"/>
      <c r="Z60" s="6" t="s">
        <v>98</v>
      </c>
    </row>
    <row r="61" spans="1:26" ht="15.75">
      <c r="A61" s="11"/>
      <c r="B61" s="12"/>
      <c r="C61" s="11"/>
      <c r="D61" s="11"/>
      <c r="E61" s="11"/>
      <c r="F61" s="245"/>
      <c r="G61" s="245"/>
      <c r="H61" s="246"/>
      <c r="I61" s="246"/>
      <c r="J61" s="246"/>
      <c r="K61" s="246"/>
      <c r="L61" s="246"/>
      <c r="M61" s="246"/>
      <c r="N61" s="247"/>
      <c r="O61" s="246"/>
      <c r="P61" s="246"/>
      <c r="Q61" s="246"/>
      <c r="R61" s="246"/>
      <c r="S61" s="247"/>
      <c r="T61" s="246"/>
      <c r="U61" s="246"/>
      <c r="V61" s="246"/>
      <c r="W61" s="246"/>
      <c r="X61" s="246"/>
      <c r="Y61" s="248"/>
      <c r="Z61" s="11"/>
    </row>
    <row r="62" spans="1:26" ht="15.75">
      <c r="A62" s="16">
        <v>17</v>
      </c>
      <c r="B62" s="17" t="s">
        <v>99</v>
      </c>
      <c r="C62" s="18" t="s">
        <v>100</v>
      </c>
      <c r="D62" s="16" t="s">
        <v>35</v>
      </c>
      <c r="E62" s="17" t="s">
        <v>30</v>
      </c>
      <c r="F62" s="235" t="s">
        <v>88</v>
      </c>
      <c r="G62" s="254" t="s">
        <v>88</v>
      </c>
      <c r="H62" s="236">
        <v>2</v>
      </c>
      <c r="I62" s="236">
        <v>2</v>
      </c>
      <c r="J62" s="236">
        <v>2</v>
      </c>
      <c r="K62" s="236">
        <v>2</v>
      </c>
      <c r="L62" s="236">
        <v>2</v>
      </c>
      <c r="M62" s="236">
        <v>2</v>
      </c>
      <c r="N62" s="236"/>
      <c r="O62" s="236"/>
      <c r="P62" s="236"/>
      <c r="Q62" s="236"/>
      <c r="R62" s="236"/>
      <c r="S62" s="237">
        <v>2</v>
      </c>
      <c r="T62" s="236">
        <v>2</v>
      </c>
      <c r="U62" s="236">
        <v>2</v>
      </c>
      <c r="V62" s="236">
        <v>2</v>
      </c>
      <c r="W62" s="236">
        <v>2</v>
      </c>
      <c r="X62" s="236">
        <v>2</v>
      </c>
      <c r="Y62" s="238">
        <f>SUM(H62:X63)</f>
        <v>24</v>
      </c>
      <c r="Z62" s="16" t="s">
        <v>101</v>
      </c>
    </row>
    <row r="63" spans="1:26" ht="15.75">
      <c r="A63" s="5"/>
      <c r="B63" s="6"/>
      <c r="C63" s="5" t="s">
        <v>102</v>
      </c>
      <c r="D63" s="5"/>
      <c r="E63" s="5"/>
      <c r="F63" s="239"/>
      <c r="G63" s="239"/>
      <c r="H63" s="240"/>
      <c r="I63" s="240"/>
      <c r="J63" s="240"/>
      <c r="K63" s="240"/>
      <c r="L63" s="240"/>
      <c r="M63" s="240"/>
      <c r="N63" s="241"/>
      <c r="O63" s="240"/>
      <c r="P63" s="240"/>
      <c r="Q63" s="240"/>
      <c r="R63" s="240"/>
      <c r="S63" s="241"/>
      <c r="T63" s="240"/>
      <c r="U63" s="240"/>
      <c r="V63" s="240"/>
      <c r="W63" s="240"/>
      <c r="X63" s="240"/>
      <c r="Y63" s="253"/>
      <c r="Z63" s="5" t="s">
        <v>522</v>
      </c>
    </row>
    <row r="64" spans="1:26" ht="15.75">
      <c r="A64" s="11"/>
      <c r="B64" s="12"/>
      <c r="C64" s="11"/>
      <c r="D64" s="11"/>
      <c r="E64" s="11"/>
      <c r="F64" s="245"/>
      <c r="G64" s="245"/>
      <c r="H64" s="246"/>
      <c r="I64" s="246"/>
      <c r="J64" s="246"/>
      <c r="K64" s="246"/>
      <c r="L64" s="246"/>
      <c r="M64" s="246"/>
      <c r="N64" s="247"/>
      <c r="O64" s="246"/>
      <c r="P64" s="246"/>
      <c r="Q64" s="246"/>
      <c r="R64" s="246"/>
      <c r="S64" s="247"/>
      <c r="T64" s="246"/>
      <c r="U64" s="246"/>
      <c r="V64" s="246"/>
      <c r="W64" s="246"/>
      <c r="X64" s="246"/>
      <c r="Y64" s="248"/>
      <c r="Z64" s="11" t="s">
        <v>523</v>
      </c>
    </row>
    <row r="65" spans="1:26" ht="15.75">
      <c r="A65" s="16">
        <v>18</v>
      </c>
      <c r="B65" s="17" t="s">
        <v>103</v>
      </c>
      <c r="C65" s="18" t="s">
        <v>104</v>
      </c>
      <c r="D65" s="16" t="s">
        <v>35</v>
      </c>
      <c r="E65" s="17" t="s">
        <v>30</v>
      </c>
      <c r="F65" s="235" t="s">
        <v>75</v>
      </c>
      <c r="G65" s="235" t="s">
        <v>75</v>
      </c>
      <c r="H65" s="236"/>
      <c r="I65" s="236"/>
      <c r="J65" s="236"/>
      <c r="K65" s="236"/>
      <c r="L65" s="236"/>
      <c r="M65" s="236"/>
      <c r="N65" s="237">
        <v>2</v>
      </c>
      <c r="O65" s="236">
        <v>2</v>
      </c>
      <c r="P65" s="236"/>
      <c r="Q65" s="236"/>
      <c r="R65" s="236"/>
      <c r="S65" s="237"/>
      <c r="T65" s="236"/>
      <c r="U65" s="236"/>
      <c r="V65" s="236"/>
      <c r="W65" s="236"/>
      <c r="X65" s="236"/>
      <c r="Y65" s="238">
        <f>SUM(H65:X66)</f>
        <v>14</v>
      </c>
      <c r="Z65" s="17"/>
    </row>
    <row r="66" spans="1:26" ht="15.75">
      <c r="A66" s="5"/>
      <c r="B66" s="6"/>
      <c r="C66" s="5" t="s">
        <v>105</v>
      </c>
      <c r="D66" s="5"/>
      <c r="E66" s="5"/>
      <c r="F66" s="239" t="s">
        <v>106</v>
      </c>
      <c r="G66" s="239"/>
      <c r="H66" s="240"/>
      <c r="I66" s="240"/>
      <c r="J66" s="240"/>
      <c r="K66" s="240"/>
      <c r="L66" s="240"/>
      <c r="M66" s="240"/>
      <c r="N66" s="241">
        <v>2</v>
      </c>
      <c r="O66" s="240">
        <v>2</v>
      </c>
      <c r="P66" s="240">
        <v>2</v>
      </c>
      <c r="Q66" s="240">
        <v>2</v>
      </c>
      <c r="R66" s="240">
        <v>2</v>
      </c>
      <c r="S66" s="241"/>
      <c r="T66" s="240"/>
      <c r="U66" s="240"/>
      <c r="V66" s="240"/>
      <c r="W66" s="240"/>
      <c r="X66" s="240"/>
      <c r="Y66" s="253"/>
      <c r="Z66" s="6"/>
    </row>
    <row r="67" spans="1:26" ht="15.75">
      <c r="A67" s="11"/>
      <c r="B67" s="12"/>
      <c r="C67" s="11"/>
      <c r="D67" s="11"/>
      <c r="E67" s="11"/>
      <c r="F67" s="245"/>
      <c r="G67" s="245"/>
      <c r="H67" s="246"/>
      <c r="I67" s="246"/>
      <c r="J67" s="246"/>
      <c r="K67" s="246"/>
      <c r="L67" s="246"/>
      <c r="M67" s="246"/>
      <c r="N67" s="247"/>
      <c r="O67" s="246"/>
      <c r="P67" s="246"/>
      <c r="Q67" s="246"/>
      <c r="R67" s="246"/>
      <c r="S67" s="247"/>
      <c r="T67" s="246"/>
      <c r="U67" s="246"/>
      <c r="V67" s="246"/>
      <c r="W67" s="246"/>
      <c r="X67" s="246"/>
      <c r="Y67" s="248"/>
      <c r="Z67" s="11"/>
    </row>
    <row r="68" spans="1:26" ht="15.75">
      <c r="A68" s="16">
        <v>19</v>
      </c>
      <c r="B68" s="6" t="s">
        <v>108</v>
      </c>
      <c r="C68" s="7" t="s">
        <v>109</v>
      </c>
      <c r="D68" s="16" t="s">
        <v>35</v>
      </c>
      <c r="E68" s="6" t="s">
        <v>30</v>
      </c>
      <c r="F68" s="239" t="s">
        <v>110</v>
      </c>
      <c r="G68" s="239" t="s">
        <v>53</v>
      </c>
      <c r="H68" s="240"/>
      <c r="I68" s="240"/>
      <c r="J68" s="240"/>
      <c r="K68" s="240"/>
      <c r="L68" s="240">
        <v>4</v>
      </c>
      <c r="M68" s="240">
        <v>4</v>
      </c>
      <c r="N68" s="241"/>
      <c r="O68" s="240"/>
      <c r="P68" s="240"/>
      <c r="Q68" s="240"/>
      <c r="R68" s="240"/>
      <c r="S68" s="255"/>
      <c r="T68" s="240"/>
      <c r="U68" s="240">
        <v>4</v>
      </c>
      <c r="V68" s="240">
        <v>4</v>
      </c>
      <c r="W68" s="240">
        <v>4</v>
      </c>
      <c r="X68" s="240">
        <v>4</v>
      </c>
      <c r="Y68" s="253">
        <f>SUM(H68:X68)</f>
        <v>24</v>
      </c>
      <c r="Z68" s="6" t="s">
        <v>431</v>
      </c>
    </row>
    <row r="69" spans="1:26" ht="15.75">
      <c r="A69" s="5"/>
      <c r="B69" s="6"/>
      <c r="C69" s="5" t="s">
        <v>112</v>
      </c>
      <c r="D69" s="5"/>
      <c r="E69" s="5"/>
      <c r="F69" s="239"/>
      <c r="G69" s="239"/>
      <c r="H69" s="240"/>
      <c r="I69" s="240"/>
      <c r="J69" s="240"/>
      <c r="K69" s="240"/>
      <c r="L69" s="240"/>
      <c r="M69" s="240"/>
      <c r="N69" s="241"/>
      <c r="O69" s="240"/>
      <c r="P69" s="240"/>
      <c r="Q69" s="240"/>
      <c r="R69" s="240"/>
      <c r="S69" s="255"/>
      <c r="T69" s="240"/>
      <c r="U69" s="240"/>
      <c r="V69" s="240"/>
      <c r="W69" s="240"/>
      <c r="X69" s="240"/>
      <c r="Y69" s="253"/>
      <c r="Z69" s="6" t="s">
        <v>56</v>
      </c>
    </row>
    <row r="70" spans="1:26" ht="15.75">
      <c r="A70" s="11"/>
      <c r="B70" s="12"/>
      <c r="C70" s="11"/>
      <c r="D70" s="11"/>
      <c r="E70" s="11"/>
      <c r="F70" s="245"/>
      <c r="G70" s="245"/>
      <c r="H70" s="246"/>
      <c r="I70" s="246"/>
      <c r="J70" s="246"/>
      <c r="K70" s="246"/>
      <c r="L70" s="246"/>
      <c r="M70" s="246"/>
      <c r="N70" s="247"/>
      <c r="O70" s="246"/>
      <c r="P70" s="246"/>
      <c r="Q70" s="246"/>
      <c r="R70" s="246"/>
      <c r="S70" s="256"/>
      <c r="T70" s="246"/>
      <c r="U70" s="246"/>
      <c r="V70" s="246"/>
      <c r="W70" s="246"/>
      <c r="X70" s="246"/>
      <c r="Y70" s="248"/>
      <c r="Z70" s="12"/>
    </row>
    <row r="71" spans="1:26" ht="15.75">
      <c r="A71" s="16">
        <v>20</v>
      </c>
      <c r="B71" s="17" t="s">
        <v>113</v>
      </c>
      <c r="C71" s="18" t="s">
        <v>114</v>
      </c>
      <c r="D71" s="16" t="s">
        <v>35</v>
      </c>
      <c r="E71" s="17" t="s">
        <v>30</v>
      </c>
      <c r="F71" s="235" t="s">
        <v>80</v>
      </c>
      <c r="G71" s="235" t="s">
        <v>80</v>
      </c>
      <c r="H71" s="236"/>
      <c r="I71" s="236"/>
      <c r="J71" s="236"/>
      <c r="K71" s="236"/>
      <c r="L71" s="236"/>
      <c r="M71" s="236"/>
      <c r="N71" s="237">
        <v>2</v>
      </c>
      <c r="O71" s="236">
        <v>2</v>
      </c>
      <c r="P71" s="236">
        <v>2</v>
      </c>
      <c r="Q71" s="236">
        <v>2</v>
      </c>
      <c r="R71" s="257">
        <v>2</v>
      </c>
      <c r="S71" s="258">
        <v>2</v>
      </c>
      <c r="T71" s="236">
        <v>2</v>
      </c>
      <c r="U71" s="236">
        <v>2</v>
      </c>
      <c r="V71" s="236">
        <v>2</v>
      </c>
      <c r="W71" s="236">
        <v>2</v>
      </c>
      <c r="X71" s="236">
        <v>2</v>
      </c>
      <c r="Y71" s="238">
        <f>SUM(H71:X71)</f>
        <v>22</v>
      </c>
      <c r="Z71" s="16" t="s">
        <v>101</v>
      </c>
    </row>
    <row r="72" spans="1:26" ht="15.75">
      <c r="A72" s="5"/>
      <c r="B72" s="6"/>
      <c r="C72" s="5" t="s">
        <v>115</v>
      </c>
      <c r="D72" s="5"/>
      <c r="E72" s="5"/>
      <c r="F72" s="239"/>
      <c r="G72" s="239"/>
      <c r="H72" s="240"/>
      <c r="I72" s="240"/>
      <c r="J72" s="240"/>
      <c r="K72" s="240"/>
      <c r="L72" s="242"/>
      <c r="M72" s="242"/>
      <c r="N72" s="241"/>
      <c r="O72" s="240"/>
      <c r="P72" s="240"/>
      <c r="Q72" s="240"/>
      <c r="R72" s="259"/>
      <c r="S72" s="255"/>
      <c r="T72" s="240"/>
      <c r="U72" s="240"/>
      <c r="V72" s="240"/>
      <c r="W72" s="242"/>
      <c r="X72" s="242"/>
      <c r="Y72" s="244"/>
      <c r="Z72" s="228" t="s">
        <v>518</v>
      </c>
    </row>
    <row r="73" spans="1:26" ht="15.75">
      <c r="A73" s="11"/>
      <c r="B73" s="12"/>
      <c r="C73" s="11"/>
      <c r="D73" s="11"/>
      <c r="E73" s="11"/>
      <c r="F73" s="245"/>
      <c r="G73" s="245"/>
      <c r="H73" s="246"/>
      <c r="I73" s="246"/>
      <c r="J73" s="246"/>
      <c r="K73" s="246"/>
      <c r="L73" s="246"/>
      <c r="M73" s="246"/>
      <c r="N73" s="247"/>
      <c r="O73" s="246"/>
      <c r="P73" s="246"/>
      <c r="Q73" s="246"/>
      <c r="R73" s="260"/>
      <c r="S73" s="256"/>
      <c r="T73" s="246"/>
      <c r="U73" s="246"/>
      <c r="V73" s="246"/>
      <c r="W73" s="246"/>
      <c r="X73" s="246"/>
      <c r="Y73" s="248"/>
      <c r="Z73" s="230" t="s">
        <v>521</v>
      </c>
    </row>
    <row r="74" spans="1:26" ht="15.75">
      <c r="A74" s="348" t="s">
        <v>4</v>
      </c>
      <c r="B74" s="4"/>
      <c r="C74" s="348" t="s">
        <v>6</v>
      </c>
      <c r="D74" s="4" t="s">
        <v>7</v>
      </c>
      <c r="E74" s="4" t="s">
        <v>8</v>
      </c>
      <c r="F74" s="261" t="s">
        <v>9</v>
      </c>
      <c r="G74" s="261" t="s">
        <v>9</v>
      </c>
      <c r="H74" s="360" t="s">
        <v>10</v>
      </c>
      <c r="I74" s="360"/>
      <c r="J74" s="360"/>
      <c r="K74" s="360"/>
      <c r="L74" s="360"/>
      <c r="M74" s="360"/>
      <c r="N74" s="360"/>
      <c r="O74" s="360"/>
      <c r="P74" s="360"/>
      <c r="Q74" s="360"/>
      <c r="R74" s="360"/>
      <c r="S74" s="360"/>
      <c r="T74" s="360"/>
      <c r="U74" s="360"/>
      <c r="V74" s="360"/>
      <c r="W74" s="360"/>
      <c r="X74" s="360"/>
      <c r="Y74" s="360"/>
      <c r="Z74" s="348" t="s">
        <v>69</v>
      </c>
    </row>
    <row r="75" spans="1:26" ht="15.75">
      <c r="A75" s="348"/>
      <c r="B75" s="79" t="s">
        <v>5</v>
      </c>
      <c r="C75" s="348"/>
      <c r="D75" s="349" t="s">
        <v>12</v>
      </c>
      <c r="E75" s="349" t="s">
        <v>13</v>
      </c>
      <c r="F75" s="262" t="s">
        <v>14</v>
      </c>
      <c r="G75" s="262" t="s">
        <v>15</v>
      </c>
      <c r="H75" s="357" t="s">
        <v>16</v>
      </c>
      <c r="I75" s="358"/>
      <c r="J75" s="358"/>
      <c r="K75" s="358"/>
      <c r="L75" s="358"/>
      <c r="M75" s="358"/>
      <c r="N75" s="359" t="s">
        <v>17</v>
      </c>
      <c r="O75" s="358"/>
      <c r="P75" s="358"/>
      <c r="Q75" s="358"/>
      <c r="R75" s="358"/>
      <c r="S75" s="359" t="s">
        <v>18</v>
      </c>
      <c r="T75" s="358"/>
      <c r="U75" s="358"/>
      <c r="V75" s="358"/>
      <c r="W75" s="358"/>
      <c r="X75" s="358"/>
      <c r="Y75" s="360" t="s">
        <v>19</v>
      </c>
      <c r="Z75" s="348"/>
    </row>
    <row r="76" spans="1:26" ht="15.75">
      <c r="A76" s="348"/>
      <c r="B76" s="80"/>
      <c r="C76" s="348"/>
      <c r="D76" s="350"/>
      <c r="E76" s="350"/>
      <c r="F76" s="263" t="s">
        <v>20</v>
      </c>
      <c r="G76" s="263" t="s">
        <v>21</v>
      </c>
      <c r="H76" s="264" t="s">
        <v>22</v>
      </c>
      <c r="I76" s="264" t="s">
        <v>23</v>
      </c>
      <c r="J76" s="264" t="s">
        <v>24</v>
      </c>
      <c r="K76" s="264" t="s">
        <v>25</v>
      </c>
      <c r="L76" s="264" t="s">
        <v>26</v>
      </c>
      <c r="M76" s="264" t="s">
        <v>27</v>
      </c>
      <c r="N76" s="265" t="s">
        <v>22</v>
      </c>
      <c r="O76" s="264" t="s">
        <v>23</v>
      </c>
      <c r="P76" s="264" t="s">
        <v>24</v>
      </c>
      <c r="Q76" s="264" t="s">
        <v>25</v>
      </c>
      <c r="R76" s="264" t="s">
        <v>26</v>
      </c>
      <c r="S76" s="265" t="s">
        <v>22</v>
      </c>
      <c r="T76" s="264" t="s">
        <v>23</v>
      </c>
      <c r="U76" s="264" t="s">
        <v>24</v>
      </c>
      <c r="V76" s="264" t="s">
        <v>25</v>
      </c>
      <c r="W76" s="264" t="s">
        <v>26</v>
      </c>
      <c r="X76" s="264" t="s">
        <v>27</v>
      </c>
      <c r="Y76" s="360"/>
      <c r="Z76" s="348"/>
    </row>
    <row r="77" spans="1:26" ht="15.75">
      <c r="A77" s="16">
        <v>21</v>
      </c>
      <c r="B77" s="17" t="s">
        <v>116</v>
      </c>
      <c r="C77" s="18" t="s">
        <v>117</v>
      </c>
      <c r="D77" s="16" t="s">
        <v>35</v>
      </c>
      <c r="E77" s="17" t="s">
        <v>30</v>
      </c>
      <c r="F77" s="235" t="s">
        <v>36</v>
      </c>
      <c r="G77" s="235" t="s">
        <v>36</v>
      </c>
      <c r="H77" s="236">
        <v>5</v>
      </c>
      <c r="I77" s="236">
        <v>5</v>
      </c>
      <c r="J77" s="236">
        <v>5</v>
      </c>
      <c r="K77" s="236">
        <v>5</v>
      </c>
      <c r="L77" s="236">
        <v>5</v>
      </c>
      <c r="M77" s="236"/>
      <c r="N77" s="237"/>
      <c r="O77" s="236"/>
      <c r="P77" s="236"/>
      <c r="Q77" s="236"/>
      <c r="R77" s="257"/>
      <c r="S77" s="258"/>
      <c r="T77" s="236"/>
      <c r="U77" s="236"/>
      <c r="V77" s="236"/>
      <c r="W77" s="236"/>
      <c r="X77" s="236"/>
      <c r="Y77" s="238">
        <f>SUM(H77:X77)+SUM(H78:X79)</f>
        <v>25</v>
      </c>
      <c r="Z77" s="39" t="s">
        <v>516</v>
      </c>
    </row>
    <row r="78" spans="1:26" ht="15.75">
      <c r="A78" s="5"/>
      <c r="B78" s="6"/>
      <c r="C78" s="5" t="s">
        <v>118</v>
      </c>
      <c r="D78" s="5"/>
      <c r="E78" s="5"/>
      <c r="F78" s="239"/>
      <c r="G78" s="239"/>
      <c r="H78" s="240"/>
      <c r="I78" s="240"/>
      <c r="J78" s="240"/>
      <c r="K78" s="240"/>
      <c r="L78" s="240"/>
      <c r="M78" s="240"/>
      <c r="N78" s="241"/>
      <c r="O78" s="240"/>
      <c r="P78" s="240"/>
      <c r="Q78" s="240"/>
      <c r="R78" s="259"/>
      <c r="S78" s="255"/>
      <c r="T78" s="240"/>
      <c r="U78" s="240"/>
      <c r="V78" s="240"/>
      <c r="W78" s="240"/>
      <c r="X78" s="240"/>
      <c r="Y78" s="253"/>
      <c r="Z78" s="228" t="s">
        <v>518</v>
      </c>
    </row>
    <row r="79" spans="1:26" ht="15.75">
      <c r="A79" s="11"/>
      <c r="B79" s="12"/>
      <c r="C79" s="11"/>
      <c r="D79" s="11"/>
      <c r="E79" s="11"/>
      <c r="F79" s="245"/>
      <c r="G79" s="245"/>
      <c r="H79" s="246"/>
      <c r="I79" s="246"/>
      <c r="J79" s="246"/>
      <c r="K79" s="246"/>
      <c r="L79" s="246"/>
      <c r="M79" s="246"/>
      <c r="N79" s="247"/>
      <c r="O79" s="246"/>
      <c r="P79" s="246"/>
      <c r="Q79" s="246"/>
      <c r="R79" s="260"/>
      <c r="S79" s="256"/>
      <c r="T79" s="246"/>
      <c r="U79" s="246"/>
      <c r="V79" s="246"/>
      <c r="W79" s="246"/>
      <c r="X79" s="246"/>
      <c r="Y79" s="248"/>
      <c r="Z79" s="229" t="s">
        <v>517</v>
      </c>
    </row>
    <row r="80" spans="1:26" ht="15.75">
      <c r="A80" s="16">
        <v>22</v>
      </c>
      <c r="B80" s="17" t="s">
        <v>119</v>
      </c>
      <c r="C80" s="18" t="s">
        <v>120</v>
      </c>
      <c r="D80" s="16" t="s">
        <v>458</v>
      </c>
      <c r="E80" s="17" t="s">
        <v>30</v>
      </c>
      <c r="F80" s="235" t="s">
        <v>122</v>
      </c>
      <c r="G80" s="235" t="s">
        <v>122</v>
      </c>
      <c r="H80" s="236"/>
      <c r="I80" s="236"/>
      <c r="J80" s="236"/>
      <c r="K80" s="236"/>
      <c r="L80" s="236"/>
      <c r="M80" s="236"/>
      <c r="N80" s="237">
        <v>2</v>
      </c>
      <c r="O80" s="236">
        <v>2</v>
      </c>
      <c r="P80" s="236">
        <v>2</v>
      </c>
      <c r="Q80" s="236">
        <v>2</v>
      </c>
      <c r="R80" s="257">
        <v>2</v>
      </c>
      <c r="S80" s="258">
        <v>2</v>
      </c>
      <c r="T80" s="236">
        <v>2</v>
      </c>
      <c r="U80" s="236">
        <v>2</v>
      </c>
      <c r="V80" s="236">
        <v>2</v>
      </c>
      <c r="W80" s="236">
        <v>2</v>
      </c>
      <c r="X80" s="236">
        <v>2</v>
      </c>
      <c r="Y80" s="238">
        <f>SUM(H80:X82)</f>
        <v>22</v>
      </c>
      <c r="Z80" s="17" t="s">
        <v>46</v>
      </c>
    </row>
    <row r="81" spans="1:26" ht="15.75">
      <c r="A81" s="5"/>
      <c r="B81" s="6"/>
      <c r="C81" s="5" t="s">
        <v>123</v>
      </c>
      <c r="D81" s="5" t="s">
        <v>459</v>
      </c>
      <c r="E81" s="5"/>
      <c r="F81" s="239"/>
      <c r="G81" s="239"/>
      <c r="H81" s="240"/>
      <c r="I81" s="240"/>
      <c r="J81" s="240"/>
      <c r="K81" s="240"/>
      <c r="L81" s="240"/>
      <c r="M81" s="240"/>
      <c r="N81" s="241"/>
      <c r="O81" s="240"/>
      <c r="P81" s="240"/>
      <c r="Q81" s="240"/>
      <c r="R81" s="259"/>
      <c r="S81" s="255"/>
      <c r="T81" s="240"/>
      <c r="U81" s="240"/>
      <c r="V81" s="240"/>
      <c r="W81" s="240"/>
      <c r="X81" s="240"/>
      <c r="Y81" s="253"/>
      <c r="Z81" s="6"/>
    </row>
    <row r="82" spans="1:26" ht="15.75">
      <c r="A82" s="11"/>
      <c r="B82" s="12"/>
      <c r="C82" s="11"/>
      <c r="D82" s="11"/>
      <c r="E82" s="11"/>
      <c r="F82" s="245"/>
      <c r="G82" s="245"/>
      <c r="H82" s="246"/>
      <c r="I82" s="246"/>
      <c r="J82" s="246"/>
      <c r="K82" s="246"/>
      <c r="L82" s="246"/>
      <c r="M82" s="246"/>
      <c r="N82" s="247"/>
      <c r="O82" s="246"/>
      <c r="P82" s="246"/>
      <c r="Q82" s="246"/>
      <c r="R82" s="260"/>
      <c r="S82" s="256"/>
      <c r="T82" s="246"/>
      <c r="U82" s="246"/>
      <c r="V82" s="246"/>
      <c r="W82" s="246"/>
      <c r="X82" s="246"/>
      <c r="Y82" s="248"/>
      <c r="Z82" s="11"/>
    </row>
    <row r="83" spans="1:26" ht="15.75">
      <c r="A83" s="16">
        <v>23</v>
      </c>
      <c r="B83" s="17" t="s">
        <v>126</v>
      </c>
      <c r="C83" s="18" t="s">
        <v>127</v>
      </c>
      <c r="D83" s="16" t="s">
        <v>458</v>
      </c>
      <c r="E83" s="17" t="s">
        <v>30</v>
      </c>
      <c r="F83" s="235" t="s">
        <v>128</v>
      </c>
      <c r="G83" s="235" t="s">
        <v>31</v>
      </c>
      <c r="H83" s="236"/>
      <c r="I83" s="236"/>
      <c r="J83" s="236"/>
      <c r="K83" s="236"/>
      <c r="L83" s="236"/>
      <c r="M83" s="236"/>
      <c r="N83" s="237">
        <v>4</v>
      </c>
      <c r="O83" s="236">
        <v>4</v>
      </c>
      <c r="P83" s="236">
        <v>4</v>
      </c>
      <c r="Q83" s="236">
        <v>4</v>
      </c>
      <c r="R83" s="257">
        <v>4</v>
      </c>
      <c r="S83" s="258"/>
      <c r="T83" s="236"/>
      <c r="U83" s="236"/>
      <c r="V83" s="236"/>
      <c r="W83" s="236"/>
      <c r="X83" s="236"/>
      <c r="Y83" s="238">
        <f>SUM(H83:X83)</f>
        <v>20</v>
      </c>
      <c r="Z83" s="17" t="s">
        <v>519</v>
      </c>
    </row>
    <row r="84" spans="1:26" ht="15.75">
      <c r="A84" s="5"/>
      <c r="B84" s="6"/>
      <c r="C84" s="5" t="s">
        <v>129</v>
      </c>
      <c r="D84" s="5" t="s">
        <v>459</v>
      </c>
      <c r="E84" s="5"/>
      <c r="F84" s="239"/>
      <c r="G84" s="239"/>
      <c r="H84" s="240"/>
      <c r="I84" s="240"/>
      <c r="J84" s="240"/>
      <c r="K84" s="240"/>
      <c r="L84" s="240"/>
      <c r="M84" s="240"/>
      <c r="N84" s="241"/>
      <c r="O84" s="240"/>
      <c r="P84" s="240"/>
      <c r="Q84" s="240"/>
      <c r="R84" s="259"/>
      <c r="S84" s="255"/>
      <c r="T84" s="240"/>
      <c r="U84" s="240"/>
      <c r="V84" s="240"/>
      <c r="W84" s="240"/>
      <c r="X84" s="240"/>
      <c r="Y84" s="253"/>
      <c r="Z84" s="6" t="s">
        <v>518</v>
      </c>
    </row>
    <row r="85" spans="1:26" ht="15.75">
      <c r="A85" s="11"/>
      <c r="B85" s="12"/>
      <c r="C85" s="11"/>
      <c r="D85" s="11"/>
      <c r="E85" s="11"/>
      <c r="F85" s="245"/>
      <c r="G85" s="245"/>
      <c r="H85" s="246"/>
      <c r="I85" s="246"/>
      <c r="J85" s="246"/>
      <c r="K85" s="246"/>
      <c r="L85" s="246"/>
      <c r="M85" s="246"/>
      <c r="N85" s="247"/>
      <c r="O85" s="246"/>
      <c r="P85" s="246"/>
      <c r="Q85" s="246"/>
      <c r="R85" s="260"/>
      <c r="S85" s="256"/>
      <c r="T85" s="246"/>
      <c r="U85" s="246"/>
      <c r="V85" s="246"/>
      <c r="W85" s="246"/>
      <c r="X85" s="246"/>
      <c r="Y85" s="248"/>
      <c r="Z85" s="12" t="s">
        <v>520</v>
      </c>
    </row>
    <row r="86" spans="1:26" ht="15.75">
      <c r="A86" s="16">
        <v>24</v>
      </c>
      <c r="B86" s="17" t="s">
        <v>131</v>
      </c>
      <c r="C86" s="18" t="s">
        <v>132</v>
      </c>
      <c r="D86" s="16" t="s">
        <v>121</v>
      </c>
      <c r="E86" s="17" t="s">
        <v>30</v>
      </c>
      <c r="F86" s="235" t="s">
        <v>122</v>
      </c>
      <c r="G86" s="235" t="s">
        <v>122</v>
      </c>
      <c r="H86" s="236">
        <v>2</v>
      </c>
      <c r="I86" s="236">
        <v>2</v>
      </c>
      <c r="J86" s="236">
        <v>2</v>
      </c>
      <c r="K86" s="236">
        <v>2</v>
      </c>
      <c r="L86" s="236">
        <v>2</v>
      </c>
      <c r="M86" s="236">
        <v>2</v>
      </c>
      <c r="N86" s="237"/>
      <c r="O86" s="236"/>
      <c r="P86" s="236"/>
      <c r="Q86" s="236"/>
      <c r="R86" s="257"/>
      <c r="S86" s="258"/>
      <c r="T86" s="236"/>
      <c r="U86" s="236"/>
      <c r="V86" s="236"/>
      <c r="W86" s="236"/>
      <c r="X86" s="236"/>
      <c r="Y86" s="238">
        <f>SUM(H86:X88)</f>
        <v>12</v>
      </c>
      <c r="Z86" s="208" t="s">
        <v>527</v>
      </c>
    </row>
    <row r="87" spans="1:26" ht="15.75">
      <c r="A87" s="5"/>
      <c r="B87" s="6"/>
      <c r="C87" s="5" t="s">
        <v>133</v>
      </c>
      <c r="D87" s="5" t="s">
        <v>124</v>
      </c>
      <c r="E87" s="5"/>
      <c r="F87" s="239" t="s">
        <v>41</v>
      </c>
      <c r="G87" s="239"/>
      <c r="H87" s="240"/>
      <c r="I87" s="240"/>
      <c r="J87" s="240"/>
      <c r="K87" s="240"/>
      <c r="L87" s="240"/>
      <c r="M87" s="240"/>
      <c r="N87" s="241"/>
      <c r="O87" s="240"/>
      <c r="P87" s="240"/>
      <c r="Q87" s="240"/>
      <c r="R87" s="259"/>
      <c r="S87" s="255"/>
      <c r="T87" s="240"/>
      <c r="U87" s="240"/>
      <c r="V87" s="240"/>
      <c r="W87" s="240"/>
      <c r="X87" s="240"/>
      <c r="Y87" s="253"/>
      <c r="Z87" s="209" t="s">
        <v>522</v>
      </c>
    </row>
    <row r="88" spans="1:26" ht="15.75">
      <c r="A88" s="11"/>
      <c r="B88" s="12"/>
      <c r="C88" s="11"/>
      <c r="D88" s="11"/>
      <c r="E88" s="11"/>
      <c r="F88" s="245" t="s">
        <v>55</v>
      </c>
      <c r="G88" s="245"/>
      <c r="H88" s="250" t="s">
        <v>435</v>
      </c>
      <c r="I88" s="250" t="s">
        <v>435</v>
      </c>
      <c r="J88" s="250" t="s">
        <v>435</v>
      </c>
      <c r="K88" s="250" t="s">
        <v>435</v>
      </c>
      <c r="L88" s="246"/>
      <c r="M88" s="246"/>
      <c r="N88" s="266"/>
      <c r="O88" s="250"/>
      <c r="P88" s="267"/>
      <c r="Q88" s="268"/>
      <c r="R88" s="269"/>
      <c r="S88" s="256"/>
      <c r="T88" s="246"/>
      <c r="U88" s="246"/>
      <c r="V88" s="246"/>
      <c r="W88" s="246"/>
      <c r="X88" s="246"/>
      <c r="Y88" s="252" t="s">
        <v>495</v>
      </c>
      <c r="Z88" s="12"/>
    </row>
    <row r="89" spans="1:26" ht="15.75">
      <c r="A89" s="16">
        <v>25</v>
      </c>
      <c r="B89" s="17" t="s">
        <v>134</v>
      </c>
      <c r="C89" s="18" t="s">
        <v>135</v>
      </c>
      <c r="D89" s="16" t="s">
        <v>121</v>
      </c>
      <c r="E89" s="17" t="s">
        <v>30</v>
      </c>
      <c r="F89" s="235" t="s">
        <v>53</v>
      </c>
      <c r="G89" s="235" t="s">
        <v>53</v>
      </c>
      <c r="H89" s="236">
        <v>4</v>
      </c>
      <c r="I89" s="236">
        <v>4</v>
      </c>
      <c r="J89" s="236">
        <v>4</v>
      </c>
      <c r="K89" s="236">
        <v>4</v>
      </c>
      <c r="L89" s="236"/>
      <c r="M89" s="236"/>
      <c r="N89" s="237"/>
      <c r="O89" s="236"/>
      <c r="P89" s="236"/>
      <c r="Q89" s="236"/>
      <c r="R89" s="257">
        <v>4</v>
      </c>
      <c r="S89" s="258"/>
      <c r="T89" s="236"/>
      <c r="U89" s="236"/>
      <c r="V89" s="236"/>
      <c r="W89" s="236"/>
      <c r="X89" s="236"/>
      <c r="Y89" s="238">
        <f>SUM(H89:X89)</f>
        <v>20</v>
      </c>
      <c r="Z89" s="17"/>
    </row>
    <row r="90" spans="1:26" ht="15.75">
      <c r="A90" s="5"/>
      <c r="B90" s="6"/>
      <c r="C90" s="5" t="s">
        <v>136</v>
      </c>
      <c r="D90" s="5" t="s">
        <v>124</v>
      </c>
      <c r="E90" s="5"/>
      <c r="F90" s="239" t="s">
        <v>226</v>
      </c>
      <c r="G90" s="239"/>
      <c r="H90" s="240"/>
      <c r="I90" s="240"/>
      <c r="J90" s="240"/>
      <c r="K90" s="240"/>
      <c r="L90" s="240"/>
      <c r="M90" s="240"/>
      <c r="N90" s="251" t="s">
        <v>435</v>
      </c>
      <c r="O90" s="242" t="s">
        <v>435</v>
      </c>
      <c r="P90" s="242"/>
      <c r="Q90" s="242"/>
      <c r="R90" s="259"/>
      <c r="S90" s="255"/>
      <c r="T90" s="240"/>
      <c r="U90" s="240"/>
      <c r="V90" s="240"/>
      <c r="W90" s="240"/>
      <c r="X90" s="240"/>
      <c r="Y90" s="244" t="s">
        <v>436</v>
      </c>
      <c r="Z90" s="6"/>
    </row>
    <row r="91" spans="1:26" ht="15.75">
      <c r="A91" s="11"/>
      <c r="B91" s="12"/>
      <c r="C91" s="11"/>
      <c r="D91" s="11"/>
      <c r="E91" s="11"/>
      <c r="F91" s="245"/>
      <c r="G91" s="245"/>
      <c r="H91" s="246"/>
      <c r="I91" s="246"/>
      <c r="J91" s="246"/>
      <c r="K91" s="246"/>
      <c r="L91" s="246"/>
      <c r="M91" s="246"/>
      <c r="N91" s="247"/>
      <c r="O91" s="246"/>
      <c r="P91" s="246"/>
      <c r="Q91" s="246"/>
      <c r="R91" s="260"/>
      <c r="S91" s="256"/>
      <c r="T91" s="246"/>
      <c r="U91" s="246"/>
      <c r="V91" s="246"/>
      <c r="W91" s="246"/>
      <c r="X91" s="246"/>
      <c r="Y91" s="248"/>
      <c r="Z91" s="11"/>
    </row>
    <row r="92" spans="1:26" ht="15.75">
      <c r="A92" s="16">
        <v>26</v>
      </c>
      <c r="B92" s="17" t="s">
        <v>138</v>
      </c>
      <c r="C92" s="18" t="s">
        <v>139</v>
      </c>
      <c r="D92" s="16" t="s">
        <v>121</v>
      </c>
      <c r="E92" s="17" t="s">
        <v>30</v>
      </c>
      <c r="F92" s="235" t="s">
        <v>36</v>
      </c>
      <c r="G92" s="235" t="s">
        <v>36</v>
      </c>
      <c r="H92" s="236"/>
      <c r="I92" s="236"/>
      <c r="J92" s="236"/>
      <c r="K92" s="236"/>
      <c r="L92" s="236"/>
      <c r="M92" s="236"/>
      <c r="N92" s="237"/>
      <c r="O92" s="236"/>
      <c r="P92" s="236"/>
      <c r="Q92" s="236"/>
      <c r="R92" s="257"/>
      <c r="S92" s="258"/>
      <c r="T92" s="236"/>
      <c r="U92" s="236">
        <v>5</v>
      </c>
      <c r="V92" s="236">
        <v>5</v>
      </c>
      <c r="W92" s="236">
        <v>5</v>
      </c>
      <c r="X92" s="236">
        <v>5</v>
      </c>
      <c r="Y92" s="238">
        <f>SUM(H92:X93)</f>
        <v>20</v>
      </c>
      <c r="Z92" s="17" t="s">
        <v>63</v>
      </c>
    </row>
    <row r="93" spans="1:26" ht="15.75">
      <c r="A93" s="5"/>
      <c r="B93" s="6"/>
      <c r="C93" s="5" t="s">
        <v>140</v>
      </c>
      <c r="D93" s="5" t="s">
        <v>124</v>
      </c>
      <c r="E93" s="5"/>
      <c r="F93" s="239"/>
      <c r="G93" s="239"/>
      <c r="H93" s="240"/>
      <c r="I93" s="240"/>
      <c r="J93" s="240"/>
      <c r="K93" s="240"/>
      <c r="L93" s="240"/>
      <c r="M93" s="240"/>
      <c r="N93" s="241"/>
      <c r="O93" s="240"/>
      <c r="P93" s="240"/>
      <c r="Q93" s="240"/>
      <c r="R93" s="259"/>
      <c r="S93" s="255"/>
      <c r="T93" s="240"/>
      <c r="U93" s="240"/>
      <c r="V93" s="240"/>
      <c r="W93" s="240"/>
      <c r="X93" s="240"/>
      <c r="Y93" s="253"/>
      <c r="Z93" s="5"/>
    </row>
    <row r="94" spans="1:26" ht="15.75">
      <c r="A94" s="11"/>
      <c r="B94" s="12"/>
      <c r="C94" s="11"/>
      <c r="D94" s="11"/>
      <c r="E94" s="11"/>
      <c r="F94" s="245"/>
      <c r="G94" s="245"/>
      <c r="H94" s="246"/>
      <c r="I94" s="246"/>
      <c r="J94" s="246"/>
      <c r="K94" s="246"/>
      <c r="L94" s="246"/>
      <c r="M94" s="246"/>
      <c r="N94" s="247"/>
      <c r="O94" s="246"/>
      <c r="P94" s="246"/>
      <c r="Q94" s="246"/>
      <c r="R94" s="260"/>
      <c r="S94" s="256"/>
      <c r="T94" s="246"/>
      <c r="U94" s="246"/>
      <c r="V94" s="246"/>
      <c r="W94" s="246"/>
      <c r="X94" s="246"/>
      <c r="Y94" s="248"/>
      <c r="Z94" s="11"/>
    </row>
    <row r="95" spans="1:26" ht="15.75">
      <c r="A95" s="16">
        <v>27</v>
      </c>
      <c r="B95" s="17" t="s">
        <v>141</v>
      </c>
      <c r="C95" s="18" t="s">
        <v>150</v>
      </c>
      <c r="D95" s="16" t="s">
        <v>121</v>
      </c>
      <c r="E95" s="17" t="s">
        <v>30</v>
      </c>
      <c r="F95" s="235" t="s">
        <v>151</v>
      </c>
      <c r="G95" s="235" t="s">
        <v>151</v>
      </c>
      <c r="H95" s="236"/>
      <c r="I95" s="236"/>
      <c r="J95" s="236"/>
      <c r="K95" s="236"/>
      <c r="L95" s="236"/>
      <c r="M95" s="236"/>
      <c r="N95" s="237">
        <v>2</v>
      </c>
      <c r="O95" s="236">
        <v>2</v>
      </c>
      <c r="P95" s="236">
        <v>2</v>
      </c>
      <c r="Q95" s="236">
        <v>2</v>
      </c>
      <c r="R95" s="257">
        <v>2</v>
      </c>
      <c r="S95" s="258"/>
      <c r="T95" s="236"/>
      <c r="U95" s="236"/>
      <c r="V95" s="236"/>
      <c r="W95" s="236"/>
      <c r="X95" s="236"/>
      <c r="Y95" s="238">
        <f>SUM(H95:X97)</f>
        <v>24</v>
      </c>
      <c r="Z95" s="17" t="s">
        <v>526</v>
      </c>
    </row>
    <row r="96" spans="1:26" ht="15.75">
      <c r="A96" s="5"/>
      <c r="B96" s="6"/>
      <c r="C96" s="5" t="s">
        <v>152</v>
      </c>
      <c r="D96" s="5" t="s">
        <v>124</v>
      </c>
      <c r="E96" s="5"/>
      <c r="F96" s="239" t="s">
        <v>67</v>
      </c>
      <c r="G96" s="243"/>
      <c r="H96" s="236">
        <v>2</v>
      </c>
      <c r="I96" s="236">
        <v>2</v>
      </c>
      <c r="J96" s="236">
        <v>2</v>
      </c>
      <c r="K96" s="236">
        <v>2</v>
      </c>
      <c r="L96" s="236">
        <v>2</v>
      </c>
      <c r="M96" s="236">
        <v>2</v>
      </c>
      <c r="N96" s="241"/>
      <c r="O96" s="240"/>
      <c r="P96" s="240"/>
      <c r="Q96" s="240">
        <v>2</v>
      </c>
      <c r="R96" s="259"/>
      <c r="S96" s="255"/>
      <c r="T96" s="240"/>
      <c r="U96" s="240"/>
      <c r="V96" s="240"/>
      <c r="W96" s="240"/>
      <c r="X96" s="240"/>
      <c r="Y96" s="253"/>
      <c r="Z96" s="6" t="s">
        <v>525</v>
      </c>
    </row>
    <row r="97" spans="1:26" ht="15.75">
      <c r="A97" s="11"/>
      <c r="B97" s="12"/>
      <c r="C97" s="11"/>
      <c r="D97" s="11"/>
      <c r="E97" s="11"/>
      <c r="F97" s="245"/>
      <c r="G97" s="245"/>
      <c r="H97" s="246"/>
      <c r="I97" s="246"/>
      <c r="J97" s="246"/>
      <c r="K97" s="246"/>
      <c r="L97" s="270"/>
      <c r="M97" s="250"/>
      <c r="N97" s="247"/>
      <c r="O97" s="246"/>
      <c r="P97" s="246"/>
      <c r="Q97" s="246"/>
      <c r="R97" s="260"/>
      <c r="S97" s="270"/>
      <c r="T97" s="250"/>
      <c r="U97" s="250"/>
      <c r="V97" s="246"/>
      <c r="W97" s="246"/>
      <c r="X97" s="246"/>
      <c r="Y97" s="252"/>
      <c r="Z97" s="12" t="s">
        <v>448</v>
      </c>
    </row>
    <row r="98" spans="1:26" ht="15.75">
      <c r="A98" s="16">
        <v>28</v>
      </c>
      <c r="B98" s="17" t="s">
        <v>145</v>
      </c>
      <c r="C98" s="18" t="s">
        <v>142</v>
      </c>
      <c r="D98" s="16" t="s">
        <v>121</v>
      </c>
      <c r="E98" s="17" t="s">
        <v>30</v>
      </c>
      <c r="F98" s="235" t="s">
        <v>36</v>
      </c>
      <c r="G98" s="235" t="s">
        <v>36</v>
      </c>
      <c r="H98" s="236"/>
      <c r="I98" s="236"/>
      <c r="J98" s="236"/>
      <c r="K98" s="236"/>
      <c r="L98" s="236"/>
      <c r="M98" s="236"/>
      <c r="N98" s="237"/>
      <c r="O98" s="236"/>
      <c r="P98" s="236"/>
      <c r="Q98" s="236"/>
      <c r="R98" s="257"/>
      <c r="S98" s="258">
        <v>5</v>
      </c>
      <c r="T98" s="236">
        <v>5</v>
      </c>
      <c r="U98" s="236"/>
      <c r="V98" s="236"/>
      <c r="W98" s="236"/>
      <c r="X98" s="236"/>
      <c r="Y98" s="238">
        <f>SUM(H98:X100)</f>
        <v>14</v>
      </c>
      <c r="Z98" s="17" t="s">
        <v>111</v>
      </c>
    </row>
    <row r="99" spans="1:26" ht="15.75">
      <c r="A99" s="5"/>
      <c r="B99" s="6"/>
      <c r="C99" s="5" t="s">
        <v>143</v>
      </c>
      <c r="D99" s="5" t="s">
        <v>124</v>
      </c>
      <c r="E99" s="5"/>
      <c r="F99" s="239" t="s">
        <v>62</v>
      </c>
      <c r="G99" s="239"/>
      <c r="H99" s="240"/>
      <c r="I99" s="240"/>
      <c r="J99" s="240"/>
      <c r="K99" s="240"/>
      <c r="L99" s="240">
        <v>4</v>
      </c>
      <c r="M99" s="240"/>
      <c r="N99" s="241"/>
      <c r="O99" s="240"/>
      <c r="P99" s="240"/>
      <c r="Q99" s="240"/>
      <c r="R99" s="259"/>
      <c r="S99" s="271"/>
      <c r="T99" s="242"/>
      <c r="U99" s="242"/>
      <c r="V99" s="240"/>
      <c r="W99" s="240"/>
      <c r="X99" s="240"/>
      <c r="Y99" s="244"/>
      <c r="Z99" s="6" t="s">
        <v>528</v>
      </c>
    </row>
    <row r="100" spans="1:26" ht="15.75">
      <c r="A100" s="11"/>
      <c r="B100" s="12"/>
      <c r="C100" s="11"/>
      <c r="D100" s="11"/>
      <c r="E100" s="11"/>
      <c r="F100" s="245"/>
      <c r="G100" s="245"/>
      <c r="H100" s="246"/>
      <c r="I100" s="246"/>
      <c r="J100" s="246"/>
      <c r="K100" s="246"/>
      <c r="L100" s="246"/>
      <c r="M100" s="246"/>
      <c r="N100" s="247"/>
      <c r="O100" s="246"/>
      <c r="P100" s="246"/>
      <c r="Q100" s="246"/>
      <c r="R100" s="260"/>
      <c r="S100" s="256"/>
      <c r="T100" s="246"/>
      <c r="U100" s="246"/>
      <c r="V100" s="246"/>
      <c r="W100" s="246"/>
      <c r="X100" s="246"/>
      <c r="Y100" s="248"/>
      <c r="Z100" s="12" t="s">
        <v>448</v>
      </c>
    </row>
    <row r="101" spans="1:26" ht="15.75">
      <c r="A101" s="16">
        <v>29</v>
      </c>
      <c r="B101" s="17" t="s">
        <v>149</v>
      </c>
      <c r="C101" s="18" t="s">
        <v>146</v>
      </c>
      <c r="D101" s="16" t="s">
        <v>121</v>
      </c>
      <c r="E101" s="17" t="s">
        <v>30</v>
      </c>
      <c r="F101" s="235" t="s">
        <v>36</v>
      </c>
      <c r="G101" s="235" t="s">
        <v>36</v>
      </c>
      <c r="H101" s="236"/>
      <c r="I101" s="236"/>
      <c r="J101" s="236"/>
      <c r="K101" s="236"/>
      <c r="L101" s="236"/>
      <c r="M101" s="236">
        <v>5</v>
      </c>
      <c r="N101" s="237"/>
      <c r="O101" s="236"/>
      <c r="P101" s="236"/>
      <c r="Q101" s="236"/>
      <c r="R101" s="257"/>
      <c r="S101" s="258"/>
      <c r="T101" s="236"/>
      <c r="U101" s="236"/>
      <c r="V101" s="236"/>
      <c r="W101" s="236"/>
      <c r="X101" s="236"/>
      <c r="Y101" s="238">
        <f>SUM(H101:X103)</f>
        <v>11</v>
      </c>
      <c r="Z101" s="6" t="s">
        <v>433</v>
      </c>
    </row>
    <row r="102" spans="1:26" ht="15.75">
      <c r="A102" s="5"/>
      <c r="B102" s="6"/>
      <c r="C102" s="5" t="s">
        <v>147</v>
      </c>
      <c r="D102" s="5" t="s">
        <v>124</v>
      </c>
      <c r="E102" s="5"/>
      <c r="F102" s="239" t="s">
        <v>75</v>
      </c>
      <c r="G102" s="239"/>
      <c r="H102" s="240"/>
      <c r="I102" s="240"/>
      <c r="J102" s="240"/>
      <c r="K102" s="240"/>
      <c r="L102" s="240"/>
      <c r="M102" s="240"/>
      <c r="N102" s="241"/>
      <c r="O102" s="240"/>
      <c r="P102" s="240">
        <v>2</v>
      </c>
      <c r="Q102" s="240">
        <v>2</v>
      </c>
      <c r="R102" s="259">
        <v>2</v>
      </c>
      <c r="S102" s="255"/>
      <c r="T102" s="240"/>
      <c r="U102" s="240"/>
      <c r="V102" s="240"/>
      <c r="W102" s="240"/>
      <c r="X102" s="240"/>
      <c r="Y102" s="253"/>
      <c r="Z102" s="6" t="s">
        <v>529</v>
      </c>
    </row>
    <row r="103" spans="1:26" ht="15.75">
      <c r="A103" s="11"/>
      <c r="B103" s="12"/>
      <c r="C103" s="11"/>
      <c r="D103" s="11"/>
      <c r="E103" s="11"/>
      <c r="F103" s="245" t="s">
        <v>55</v>
      </c>
      <c r="G103" s="245"/>
      <c r="H103" s="246"/>
      <c r="I103" s="246"/>
      <c r="J103" s="246"/>
      <c r="K103" s="246"/>
      <c r="L103" s="246"/>
      <c r="M103" s="246"/>
      <c r="N103" s="247"/>
      <c r="O103" s="246"/>
      <c r="P103" s="250" t="s">
        <v>435</v>
      </c>
      <c r="Q103" s="250" t="s">
        <v>435</v>
      </c>
      <c r="R103" s="260"/>
      <c r="S103" s="256"/>
      <c r="T103" s="246"/>
      <c r="U103" s="246"/>
      <c r="V103" s="246"/>
      <c r="W103" s="246"/>
      <c r="X103" s="246"/>
      <c r="Y103" s="252" t="s">
        <v>436</v>
      </c>
      <c r="Z103" s="12" t="s">
        <v>448</v>
      </c>
    </row>
    <row r="104" spans="1:26" ht="15.75">
      <c r="A104" s="5">
        <v>30</v>
      </c>
      <c r="B104" s="6" t="s">
        <v>153</v>
      </c>
      <c r="C104" s="7" t="s">
        <v>154</v>
      </c>
      <c r="D104" s="5"/>
      <c r="E104" s="6" t="s">
        <v>30</v>
      </c>
      <c r="F104" s="239" t="s">
        <v>53</v>
      </c>
      <c r="G104" s="239"/>
      <c r="H104" s="240"/>
      <c r="I104" s="240"/>
      <c r="J104" s="240"/>
      <c r="K104" s="240"/>
      <c r="L104" s="240"/>
      <c r="M104" s="240"/>
      <c r="N104" s="241"/>
      <c r="O104" s="240"/>
      <c r="P104" s="240"/>
      <c r="Q104" s="240"/>
      <c r="R104" s="240"/>
      <c r="S104" s="241"/>
      <c r="T104" s="240"/>
      <c r="U104" s="240"/>
      <c r="V104" s="240"/>
      <c r="W104" s="240"/>
      <c r="X104" s="240"/>
      <c r="Y104" s="253">
        <f>SUM(H104:X104)</f>
        <v>0</v>
      </c>
      <c r="Z104" s="6" t="s">
        <v>111</v>
      </c>
    </row>
    <row r="105" spans="1:26" ht="15.75">
      <c r="A105" s="11"/>
      <c r="B105" s="12"/>
      <c r="C105" s="11"/>
      <c r="D105" s="11"/>
      <c r="E105" s="11"/>
      <c r="F105" s="245"/>
      <c r="G105" s="245"/>
      <c r="H105" s="246"/>
      <c r="I105" s="246"/>
      <c r="J105" s="246"/>
      <c r="K105" s="246"/>
      <c r="L105" s="246"/>
      <c r="M105" s="246"/>
      <c r="N105" s="247"/>
      <c r="O105" s="246"/>
      <c r="P105" s="246"/>
      <c r="Q105" s="246"/>
      <c r="R105" s="246"/>
      <c r="S105" s="247"/>
      <c r="T105" s="246"/>
      <c r="U105" s="246"/>
      <c r="V105" s="246"/>
      <c r="W105" s="246"/>
      <c r="X105" s="246"/>
      <c r="Y105" s="248"/>
      <c r="Z105" s="12" t="s">
        <v>448</v>
      </c>
    </row>
    <row r="106" spans="1:26" ht="15.75">
      <c r="A106" s="16">
        <v>31</v>
      </c>
      <c r="B106" s="17" t="s">
        <v>156</v>
      </c>
      <c r="C106" s="18" t="s">
        <v>157</v>
      </c>
      <c r="D106" s="16"/>
      <c r="E106" s="17" t="s">
        <v>30</v>
      </c>
      <c r="F106" s="235" t="s">
        <v>67</v>
      </c>
      <c r="G106" s="235"/>
      <c r="H106" s="236"/>
      <c r="I106" s="236"/>
      <c r="J106" s="236"/>
      <c r="K106" s="236"/>
      <c r="L106" s="236"/>
      <c r="M106" s="236"/>
      <c r="N106" s="237"/>
      <c r="O106" s="236"/>
      <c r="P106" s="236"/>
      <c r="Q106" s="236"/>
      <c r="R106" s="236"/>
      <c r="S106" s="237"/>
      <c r="T106" s="236"/>
      <c r="U106" s="236"/>
      <c r="V106" s="236"/>
      <c r="W106" s="236"/>
      <c r="X106" s="236"/>
      <c r="Y106" s="238">
        <f>SUM(H106:X107)</f>
        <v>6</v>
      </c>
      <c r="Z106" s="17" t="s">
        <v>155</v>
      </c>
    </row>
    <row r="107" spans="1:26" ht="15.75">
      <c r="A107" s="11"/>
      <c r="B107" s="12"/>
      <c r="C107" s="11"/>
      <c r="D107" s="11"/>
      <c r="E107" s="11"/>
      <c r="F107" s="245" t="s">
        <v>493</v>
      </c>
      <c r="G107" s="245"/>
      <c r="H107" s="246">
        <v>1</v>
      </c>
      <c r="I107" s="246">
        <v>1</v>
      </c>
      <c r="J107" s="246">
        <v>1</v>
      </c>
      <c r="K107" s="246">
        <v>1</v>
      </c>
      <c r="L107" s="246">
        <v>1</v>
      </c>
      <c r="M107" s="246">
        <v>1</v>
      </c>
      <c r="N107" s="247"/>
      <c r="O107" s="246"/>
      <c r="P107" s="246"/>
      <c r="Q107" s="246"/>
      <c r="R107" s="246"/>
      <c r="S107" s="247"/>
      <c r="T107" s="246"/>
      <c r="U107" s="246"/>
      <c r="V107" s="246"/>
      <c r="W107" s="246"/>
      <c r="X107" s="246"/>
      <c r="Y107" s="248"/>
      <c r="Z107" s="12"/>
    </row>
    <row r="108" spans="1:26" ht="15.75">
      <c r="A108" s="16">
        <v>32</v>
      </c>
      <c r="B108" s="17" t="s">
        <v>158</v>
      </c>
      <c r="C108" s="18" t="s">
        <v>159</v>
      </c>
      <c r="D108" s="16"/>
      <c r="E108" s="17" t="s">
        <v>30</v>
      </c>
      <c r="F108" s="235" t="s">
        <v>88</v>
      </c>
      <c r="G108" s="235"/>
      <c r="H108" s="236"/>
      <c r="I108" s="236"/>
      <c r="J108" s="236"/>
      <c r="K108" s="236"/>
      <c r="L108" s="236"/>
      <c r="M108" s="236"/>
      <c r="N108" s="237"/>
      <c r="O108" s="236"/>
      <c r="P108" s="236"/>
      <c r="Q108" s="236"/>
      <c r="R108" s="236"/>
      <c r="S108" s="237"/>
      <c r="T108" s="236"/>
      <c r="U108" s="236"/>
      <c r="V108" s="236"/>
      <c r="W108" s="236"/>
      <c r="X108" s="236"/>
      <c r="Y108" s="238">
        <f>SUM(H108:X108)</f>
        <v>0</v>
      </c>
      <c r="Z108" s="17" t="s">
        <v>155</v>
      </c>
    </row>
    <row r="109" spans="1:26" ht="15.75">
      <c r="A109" s="11"/>
      <c r="B109" s="12"/>
      <c r="C109" s="11"/>
      <c r="D109" s="11"/>
      <c r="E109" s="11"/>
      <c r="F109" s="245"/>
      <c r="G109" s="245"/>
      <c r="H109" s="246"/>
      <c r="I109" s="246"/>
      <c r="J109" s="246"/>
      <c r="K109" s="246"/>
      <c r="L109" s="246"/>
      <c r="M109" s="246"/>
      <c r="N109" s="247"/>
      <c r="O109" s="246"/>
      <c r="P109" s="246"/>
      <c r="Q109" s="246"/>
      <c r="R109" s="246"/>
      <c r="S109" s="247"/>
      <c r="T109" s="246"/>
      <c r="U109" s="246"/>
      <c r="V109" s="246"/>
      <c r="W109" s="246"/>
      <c r="X109" s="246"/>
      <c r="Y109" s="248"/>
      <c r="Z109" s="11"/>
    </row>
    <row r="110" spans="1:26" ht="15.75">
      <c r="A110" s="348" t="s">
        <v>4</v>
      </c>
      <c r="B110" s="4"/>
      <c r="C110" s="348" t="s">
        <v>6</v>
      </c>
      <c r="D110" s="4" t="s">
        <v>7</v>
      </c>
      <c r="E110" s="4" t="s">
        <v>8</v>
      </c>
      <c r="F110" s="261" t="s">
        <v>9</v>
      </c>
      <c r="G110" s="261" t="s">
        <v>9</v>
      </c>
      <c r="H110" s="360" t="s">
        <v>10</v>
      </c>
      <c r="I110" s="360"/>
      <c r="J110" s="360"/>
      <c r="K110" s="360"/>
      <c r="L110" s="360"/>
      <c r="M110" s="360"/>
      <c r="N110" s="360"/>
      <c r="O110" s="360"/>
      <c r="P110" s="360"/>
      <c r="Q110" s="360"/>
      <c r="R110" s="360"/>
      <c r="S110" s="360"/>
      <c r="T110" s="360"/>
      <c r="U110" s="360"/>
      <c r="V110" s="360"/>
      <c r="W110" s="360"/>
      <c r="X110" s="360"/>
      <c r="Y110" s="360"/>
      <c r="Z110" s="348" t="s">
        <v>69</v>
      </c>
    </row>
    <row r="111" spans="1:26" ht="10.5" customHeight="1">
      <c r="A111" s="348"/>
      <c r="B111" s="79" t="s">
        <v>5</v>
      </c>
      <c r="C111" s="348"/>
      <c r="D111" s="349" t="s">
        <v>12</v>
      </c>
      <c r="E111" s="349" t="s">
        <v>13</v>
      </c>
      <c r="F111" s="262" t="s">
        <v>14</v>
      </c>
      <c r="G111" s="262" t="s">
        <v>15</v>
      </c>
      <c r="H111" s="357" t="s">
        <v>16</v>
      </c>
      <c r="I111" s="358"/>
      <c r="J111" s="358"/>
      <c r="K111" s="358"/>
      <c r="L111" s="358"/>
      <c r="M111" s="358"/>
      <c r="N111" s="359" t="s">
        <v>17</v>
      </c>
      <c r="O111" s="358"/>
      <c r="P111" s="358"/>
      <c r="Q111" s="358"/>
      <c r="R111" s="358"/>
      <c r="S111" s="359" t="s">
        <v>18</v>
      </c>
      <c r="T111" s="358"/>
      <c r="U111" s="358"/>
      <c r="V111" s="358"/>
      <c r="W111" s="358"/>
      <c r="X111" s="358"/>
      <c r="Y111" s="360" t="s">
        <v>19</v>
      </c>
      <c r="Z111" s="348"/>
    </row>
    <row r="112" spans="1:26" ht="15.75">
      <c r="A112" s="348"/>
      <c r="B112" s="80"/>
      <c r="C112" s="348"/>
      <c r="D112" s="350"/>
      <c r="E112" s="350"/>
      <c r="F112" s="263" t="s">
        <v>20</v>
      </c>
      <c r="G112" s="263" t="s">
        <v>21</v>
      </c>
      <c r="H112" s="264" t="s">
        <v>22</v>
      </c>
      <c r="I112" s="264" t="s">
        <v>23</v>
      </c>
      <c r="J112" s="264" t="s">
        <v>24</v>
      </c>
      <c r="K112" s="264" t="s">
        <v>25</v>
      </c>
      <c r="L112" s="264" t="s">
        <v>26</v>
      </c>
      <c r="M112" s="264" t="s">
        <v>27</v>
      </c>
      <c r="N112" s="265" t="s">
        <v>22</v>
      </c>
      <c r="O112" s="264" t="s">
        <v>23</v>
      </c>
      <c r="P112" s="264" t="s">
        <v>24</v>
      </c>
      <c r="Q112" s="264" t="s">
        <v>25</v>
      </c>
      <c r="R112" s="264" t="s">
        <v>26</v>
      </c>
      <c r="S112" s="265" t="s">
        <v>22</v>
      </c>
      <c r="T112" s="264" t="s">
        <v>23</v>
      </c>
      <c r="U112" s="264" t="s">
        <v>24</v>
      </c>
      <c r="V112" s="264" t="s">
        <v>25</v>
      </c>
      <c r="W112" s="264" t="s">
        <v>26</v>
      </c>
      <c r="X112" s="264" t="s">
        <v>27</v>
      </c>
      <c r="Y112" s="360"/>
      <c r="Z112" s="348"/>
    </row>
    <row r="113" spans="1:26" ht="15.75">
      <c r="A113" s="16">
        <v>33</v>
      </c>
      <c r="B113" s="17" t="s">
        <v>160</v>
      </c>
      <c r="C113" s="18" t="s">
        <v>161</v>
      </c>
      <c r="D113" s="16"/>
      <c r="E113" s="17" t="s">
        <v>30</v>
      </c>
      <c r="F113" s="235" t="s">
        <v>162</v>
      </c>
      <c r="G113" s="235"/>
      <c r="H113" s="236">
        <v>4</v>
      </c>
      <c r="I113" s="236"/>
      <c r="J113" s="236"/>
      <c r="K113" s="236"/>
      <c r="L113" s="272" t="s">
        <v>496</v>
      </c>
      <c r="M113" s="272" t="s">
        <v>496</v>
      </c>
      <c r="N113" s="237"/>
      <c r="O113" s="236"/>
      <c r="P113" s="236"/>
      <c r="Q113" s="236"/>
      <c r="R113" s="236"/>
      <c r="S113" s="237"/>
      <c r="T113" s="236"/>
      <c r="U113" s="236"/>
      <c r="V113" s="236"/>
      <c r="W113" s="236"/>
      <c r="X113" s="236"/>
      <c r="Y113" s="273">
        <f>SUM(H113:X114)</f>
        <v>4</v>
      </c>
      <c r="Z113" s="17" t="s">
        <v>155</v>
      </c>
    </row>
    <row r="114" spans="1:26" ht="15.75">
      <c r="A114" s="11"/>
      <c r="B114" s="12"/>
      <c r="C114" s="11"/>
      <c r="D114" s="11"/>
      <c r="E114" s="11"/>
      <c r="F114" s="245"/>
      <c r="G114" s="245"/>
      <c r="H114" s="246"/>
      <c r="I114" s="246"/>
      <c r="J114" s="246"/>
      <c r="K114" s="246"/>
      <c r="L114" s="246"/>
      <c r="M114" s="246"/>
      <c r="N114" s="247"/>
      <c r="O114" s="246"/>
      <c r="P114" s="246"/>
      <c r="Q114" s="246"/>
      <c r="R114" s="246"/>
      <c r="S114" s="247"/>
      <c r="T114" s="246"/>
      <c r="U114" s="246"/>
      <c r="V114" s="246"/>
      <c r="W114" s="246"/>
      <c r="X114" s="246"/>
      <c r="Y114" s="248"/>
      <c r="Z114" s="12"/>
    </row>
    <row r="115" spans="1:26" ht="15.75">
      <c r="A115" s="16">
        <v>34</v>
      </c>
      <c r="B115" s="17" t="s">
        <v>163</v>
      </c>
      <c r="C115" s="18" t="s">
        <v>164</v>
      </c>
      <c r="D115" s="16"/>
      <c r="E115" s="17" t="s">
        <v>30</v>
      </c>
      <c r="F115" s="235" t="s">
        <v>165</v>
      </c>
      <c r="G115" s="235"/>
      <c r="H115" s="272"/>
      <c r="I115" s="272"/>
      <c r="J115" s="272"/>
      <c r="K115" s="272"/>
      <c r="L115" s="272" t="s">
        <v>435</v>
      </c>
      <c r="M115" s="272" t="s">
        <v>435</v>
      </c>
      <c r="N115" s="237"/>
      <c r="O115" s="236"/>
      <c r="P115" s="236"/>
      <c r="Q115" s="236"/>
      <c r="R115" s="236"/>
      <c r="S115" s="237"/>
      <c r="T115" s="236"/>
      <c r="U115" s="236"/>
      <c r="V115" s="236"/>
      <c r="W115" s="236"/>
      <c r="X115" s="272"/>
      <c r="Y115" s="273" t="s">
        <v>436</v>
      </c>
      <c r="Z115" s="17" t="s">
        <v>155</v>
      </c>
    </row>
    <row r="116" spans="1:26" ht="15.75">
      <c r="A116" s="11"/>
      <c r="B116" s="12"/>
      <c r="C116" s="11"/>
      <c r="D116" s="11"/>
      <c r="E116" s="11"/>
      <c r="F116" s="245"/>
      <c r="G116" s="245"/>
      <c r="H116" s="246"/>
      <c r="I116" s="246"/>
      <c r="J116" s="246"/>
      <c r="K116" s="246"/>
      <c r="L116" s="246"/>
      <c r="M116" s="246"/>
      <c r="N116" s="247"/>
      <c r="O116" s="246"/>
      <c r="P116" s="246"/>
      <c r="Q116" s="246"/>
      <c r="R116" s="246"/>
      <c r="S116" s="247"/>
      <c r="T116" s="246"/>
      <c r="U116" s="246"/>
      <c r="V116" s="246"/>
      <c r="W116" s="246"/>
      <c r="X116" s="246"/>
      <c r="Y116" s="248"/>
      <c r="Z116" s="12"/>
    </row>
    <row r="117" spans="1:26" ht="15.75">
      <c r="A117" s="16">
        <v>35</v>
      </c>
      <c r="B117" s="17" t="s">
        <v>166</v>
      </c>
      <c r="C117" s="18" t="s">
        <v>167</v>
      </c>
      <c r="D117" s="16"/>
      <c r="E117" s="17" t="s">
        <v>30</v>
      </c>
      <c r="F117" s="235" t="s">
        <v>62</v>
      </c>
      <c r="G117" s="235"/>
      <c r="H117" s="236"/>
      <c r="I117" s="236"/>
      <c r="J117" s="272" t="s">
        <v>496</v>
      </c>
      <c r="K117" s="272" t="s">
        <v>496</v>
      </c>
      <c r="L117" s="236"/>
      <c r="M117" s="236"/>
      <c r="N117" s="237"/>
      <c r="O117" s="236"/>
      <c r="P117" s="236"/>
      <c r="Q117" s="236"/>
      <c r="R117" s="236"/>
      <c r="S117" s="237"/>
      <c r="T117" s="236"/>
      <c r="U117" s="236"/>
      <c r="V117" s="236"/>
      <c r="W117" s="236"/>
      <c r="X117" s="236"/>
      <c r="Y117" s="272" t="s">
        <v>497</v>
      </c>
      <c r="Z117" s="17" t="s">
        <v>155</v>
      </c>
    </row>
    <row r="118" spans="1:26" ht="15.75">
      <c r="A118" s="11"/>
      <c r="B118" s="12"/>
      <c r="C118" s="11"/>
      <c r="D118" s="11"/>
      <c r="E118" s="11"/>
      <c r="F118" s="245"/>
      <c r="G118" s="245"/>
      <c r="H118" s="246"/>
      <c r="I118" s="246"/>
      <c r="J118" s="246"/>
      <c r="K118" s="246"/>
      <c r="L118" s="246"/>
      <c r="M118" s="246"/>
      <c r="N118" s="266"/>
      <c r="O118" s="246"/>
      <c r="P118" s="246"/>
      <c r="Q118" s="246"/>
      <c r="R118" s="246"/>
      <c r="S118" s="247"/>
      <c r="T118" s="246"/>
      <c r="U118" s="246"/>
      <c r="V118" s="246"/>
      <c r="W118" s="246"/>
      <c r="X118" s="274"/>
      <c r="Y118" s="274"/>
      <c r="Z118" s="12"/>
    </row>
    <row r="119" spans="1:26" ht="15.75">
      <c r="A119" s="16">
        <v>36</v>
      </c>
      <c r="B119" s="17" t="s">
        <v>168</v>
      </c>
      <c r="C119" s="18" t="s">
        <v>169</v>
      </c>
      <c r="D119" s="16"/>
      <c r="E119" s="17" t="s">
        <v>30</v>
      </c>
      <c r="F119" s="235" t="s">
        <v>162</v>
      </c>
      <c r="G119" s="235"/>
      <c r="H119" s="236"/>
      <c r="I119" s="236"/>
      <c r="J119" s="236">
        <v>4</v>
      </c>
      <c r="K119" s="236">
        <v>4</v>
      </c>
      <c r="L119" s="236"/>
      <c r="M119" s="236"/>
      <c r="N119" s="237"/>
      <c r="O119" s="236"/>
      <c r="P119" s="236"/>
      <c r="Q119" s="236"/>
      <c r="R119" s="236"/>
      <c r="S119" s="237"/>
      <c r="T119" s="236"/>
      <c r="U119" s="236"/>
      <c r="V119" s="236"/>
      <c r="W119" s="236"/>
      <c r="X119" s="236"/>
      <c r="Y119" s="238">
        <f>SUM(H119:X119)</f>
        <v>8</v>
      </c>
      <c r="Z119" s="17" t="s">
        <v>155</v>
      </c>
    </row>
    <row r="120" spans="1:26" ht="15.75">
      <c r="A120" s="11"/>
      <c r="B120" s="12"/>
      <c r="C120" s="11"/>
      <c r="D120" s="11"/>
      <c r="E120" s="11"/>
      <c r="F120" s="245"/>
      <c r="G120" s="245"/>
      <c r="H120" s="246"/>
      <c r="I120" s="246"/>
      <c r="J120" s="246"/>
      <c r="K120" s="246"/>
      <c r="L120" s="246"/>
      <c r="M120" s="246"/>
      <c r="N120" s="247"/>
      <c r="O120" s="246"/>
      <c r="P120" s="246"/>
      <c r="Q120" s="246"/>
      <c r="R120" s="246"/>
      <c r="S120" s="247"/>
      <c r="T120" s="246"/>
      <c r="U120" s="246"/>
      <c r="V120" s="246"/>
      <c r="W120" s="246"/>
      <c r="X120" s="246"/>
      <c r="Y120" s="248"/>
      <c r="Z120" s="12"/>
    </row>
    <row r="121" spans="1:26" ht="15.75">
      <c r="A121" s="16">
        <v>37</v>
      </c>
      <c r="B121" s="17" t="s">
        <v>170</v>
      </c>
      <c r="C121" s="18" t="s">
        <v>171</v>
      </c>
      <c r="D121" s="16"/>
      <c r="E121" s="17" t="s">
        <v>30</v>
      </c>
      <c r="F121" s="235" t="s">
        <v>62</v>
      </c>
      <c r="G121" s="235"/>
      <c r="H121" s="272" t="s">
        <v>496</v>
      </c>
      <c r="I121" s="272" t="s">
        <v>496</v>
      </c>
      <c r="J121" s="236"/>
      <c r="K121" s="236"/>
      <c r="L121" s="236"/>
      <c r="M121" s="236"/>
      <c r="N121" s="237"/>
      <c r="O121" s="236"/>
      <c r="P121" s="236"/>
      <c r="Q121" s="236"/>
      <c r="R121" s="236"/>
      <c r="S121" s="237"/>
      <c r="T121" s="236"/>
      <c r="U121" s="236"/>
      <c r="V121" s="236"/>
      <c r="W121" s="236"/>
      <c r="X121" s="236"/>
      <c r="Y121" s="273" t="s">
        <v>497</v>
      </c>
      <c r="Z121" s="17" t="s">
        <v>155</v>
      </c>
    </row>
    <row r="122" spans="1:26" ht="15.75">
      <c r="A122" s="11"/>
      <c r="B122" s="12"/>
      <c r="C122" s="11"/>
      <c r="D122" s="11"/>
      <c r="E122" s="11"/>
      <c r="F122" s="245"/>
      <c r="G122" s="245"/>
      <c r="H122" s="246"/>
      <c r="I122" s="246"/>
      <c r="J122" s="246"/>
      <c r="K122" s="246"/>
      <c r="L122" s="246"/>
      <c r="M122" s="246"/>
      <c r="N122" s="247"/>
      <c r="O122" s="250"/>
      <c r="P122" s="250"/>
      <c r="Q122" s="250"/>
      <c r="R122" s="246"/>
      <c r="S122" s="247"/>
      <c r="T122" s="246"/>
      <c r="U122" s="246"/>
      <c r="V122" s="274"/>
      <c r="W122" s="274"/>
      <c r="X122" s="246"/>
      <c r="Y122" s="252"/>
      <c r="Z122" s="12" t="s">
        <v>448</v>
      </c>
    </row>
    <row r="123" spans="1:26" ht="15.75">
      <c r="A123" s="16">
        <v>38</v>
      </c>
      <c r="B123" s="17" t="s">
        <v>172</v>
      </c>
      <c r="C123" s="18" t="s">
        <v>173</v>
      </c>
      <c r="D123" s="16"/>
      <c r="E123" s="17" t="s">
        <v>30</v>
      </c>
      <c r="F123" s="235" t="s">
        <v>67</v>
      </c>
      <c r="G123" s="235"/>
      <c r="H123" s="236"/>
      <c r="I123" s="236"/>
      <c r="J123" s="236"/>
      <c r="K123" s="236"/>
      <c r="L123" s="236"/>
      <c r="M123" s="236"/>
      <c r="N123" s="237">
        <v>2</v>
      </c>
      <c r="O123" s="236">
        <v>2</v>
      </c>
      <c r="P123" s="236">
        <v>2</v>
      </c>
      <c r="Q123" s="236"/>
      <c r="R123" s="236"/>
      <c r="S123" s="237"/>
      <c r="T123" s="236"/>
      <c r="U123" s="236"/>
      <c r="V123" s="236"/>
      <c r="W123" s="236"/>
      <c r="X123" s="236"/>
      <c r="Y123" s="238">
        <f>SUM(H123:X124)</f>
        <v>6</v>
      </c>
      <c r="Z123" s="17" t="s">
        <v>155</v>
      </c>
    </row>
    <row r="124" spans="1:26" ht="15.75">
      <c r="A124" s="5"/>
      <c r="B124" s="6"/>
      <c r="C124" s="7"/>
      <c r="D124" s="5"/>
      <c r="E124" s="6"/>
      <c r="F124" s="275"/>
      <c r="G124" s="275"/>
      <c r="H124" s="253"/>
      <c r="I124" s="253"/>
      <c r="J124" s="253"/>
      <c r="K124" s="253"/>
      <c r="L124" s="253"/>
      <c r="M124" s="253"/>
      <c r="N124" s="276"/>
      <c r="O124" s="253"/>
      <c r="P124" s="253"/>
      <c r="Q124" s="253"/>
      <c r="R124" s="253"/>
      <c r="S124" s="276"/>
      <c r="T124" s="253"/>
      <c r="U124" s="253"/>
      <c r="V124" s="253"/>
      <c r="W124" s="253"/>
      <c r="X124" s="253"/>
      <c r="Y124" s="253"/>
      <c r="Z124" s="6"/>
    </row>
    <row r="125" spans="1:26" ht="15.75">
      <c r="A125" s="16">
        <v>39</v>
      </c>
      <c r="B125" s="17" t="s">
        <v>174</v>
      </c>
      <c r="C125" s="18" t="s">
        <v>175</v>
      </c>
      <c r="D125" s="16"/>
      <c r="E125" s="17" t="s">
        <v>30</v>
      </c>
      <c r="F125" s="235" t="s">
        <v>176</v>
      </c>
      <c r="G125" s="235"/>
      <c r="H125" s="236"/>
      <c r="I125" s="236">
        <v>4</v>
      </c>
      <c r="J125" s="236"/>
      <c r="K125" s="236"/>
      <c r="L125" s="236"/>
      <c r="M125" s="236"/>
      <c r="N125" s="237"/>
      <c r="O125" s="236"/>
      <c r="P125" s="236"/>
      <c r="Q125" s="236"/>
      <c r="R125" s="236"/>
      <c r="S125" s="237"/>
      <c r="T125" s="236"/>
      <c r="U125" s="236"/>
      <c r="V125" s="236"/>
      <c r="W125" s="236"/>
      <c r="X125" s="236"/>
      <c r="Y125" s="238">
        <f>SUM(H125:X125)</f>
        <v>4</v>
      </c>
      <c r="Z125" s="17" t="s">
        <v>155</v>
      </c>
    </row>
    <row r="126" spans="1:26" ht="15.75">
      <c r="A126" s="11"/>
      <c r="B126" s="12"/>
      <c r="C126" s="11"/>
      <c r="D126" s="11"/>
      <c r="E126" s="11"/>
      <c r="F126" s="245"/>
      <c r="G126" s="245"/>
      <c r="H126" s="246"/>
      <c r="I126" s="246"/>
      <c r="J126" s="246"/>
      <c r="K126" s="246"/>
      <c r="L126" s="246"/>
      <c r="M126" s="246"/>
      <c r="N126" s="247"/>
      <c r="O126" s="246"/>
      <c r="P126" s="246"/>
      <c r="Q126" s="246"/>
      <c r="R126" s="246"/>
      <c r="S126" s="247"/>
      <c r="T126" s="246"/>
      <c r="U126" s="246"/>
      <c r="V126" s="246"/>
      <c r="W126" s="246"/>
      <c r="X126" s="246"/>
      <c r="Y126" s="248"/>
      <c r="Z126" s="12"/>
    </row>
    <row r="127" spans="1:26" ht="15.75">
      <c r="A127" s="1"/>
      <c r="B127" s="1"/>
      <c r="C127" s="1"/>
      <c r="D127" s="1"/>
      <c r="E127" s="1"/>
      <c r="F127" s="1"/>
      <c r="G127" s="1"/>
      <c r="H127" s="84">
        <f t="shared" ref="H127:Y127" si="0">SUM(H113:H126)+SUM(H68:H103)+SUM(H41:H67)+SUM(H10:H37)</f>
        <v>35</v>
      </c>
      <c r="I127" s="84">
        <f t="shared" si="0"/>
        <v>35</v>
      </c>
      <c r="J127" s="84">
        <f t="shared" si="0"/>
        <v>35</v>
      </c>
      <c r="K127" s="84">
        <f t="shared" si="0"/>
        <v>35</v>
      </c>
      <c r="L127" s="84">
        <f t="shared" si="0"/>
        <v>35</v>
      </c>
      <c r="M127" s="84">
        <f t="shared" si="0"/>
        <v>35</v>
      </c>
      <c r="N127" s="84">
        <f t="shared" si="0"/>
        <v>36</v>
      </c>
      <c r="O127" s="84">
        <f t="shared" si="0"/>
        <v>36</v>
      </c>
      <c r="P127" s="84">
        <f t="shared" si="0"/>
        <v>36</v>
      </c>
      <c r="Q127" s="84">
        <f t="shared" si="0"/>
        <v>36</v>
      </c>
      <c r="R127" s="84">
        <f t="shared" si="0"/>
        <v>36</v>
      </c>
      <c r="S127" s="84">
        <f t="shared" si="0"/>
        <v>36</v>
      </c>
      <c r="T127" s="84">
        <f t="shared" si="0"/>
        <v>36</v>
      </c>
      <c r="U127" s="84">
        <f t="shared" si="0"/>
        <v>36</v>
      </c>
      <c r="V127" s="84">
        <f t="shared" si="0"/>
        <v>36</v>
      </c>
      <c r="W127" s="84">
        <f t="shared" si="0"/>
        <v>36</v>
      </c>
      <c r="X127" s="84">
        <f t="shared" si="0"/>
        <v>36</v>
      </c>
      <c r="Y127" s="41">
        <f t="shared" si="0"/>
        <v>606</v>
      </c>
      <c r="Z127" s="1"/>
    </row>
    <row r="128" spans="1:26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 t="s">
        <v>481</v>
      </c>
      <c r="S129" s="1"/>
      <c r="T129" s="1"/>
      <c r="U129" s="1"/>
      <c r="V129" s="1"/>
      <c r="W129" s="1"/>
      <c r="X129" s="1"/>
      <c r="Y129" s="1"/>
      <c r="Z129" s="1"/>
    </row>
    <row r="130" spans="1:26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 t="s">
        <v>177</v>
      </c>
      <c r="S130" s="1"/>
      <c r="T130" s="1"/>
      <c r="U130" s="1"/>
      <c r="V130" s="1"/>
      <c r="W130" s="1"/>
      <c r="X130" s="1"/>
      <c r="Y130" s="1"/>
      <c r="Z130" s="1"/>
    </row>
    <row r="131" spans="1:26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 t="s">
        <v>178</v>
      </c>
      <c r="S133" s="1"/>
      <c r="T133" s="1"/>
      <c r="U133" s="1"/>
      <c r="V133" s="1"/>
      <c r="W133" s="1"/>
      <c r="X133" s="1"/>
      <c r="Y133" s="1"/>
      <c r="Z133" s="1"/>
    </row>
    <row r="134" spans="1:26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 t="s">
        <v>179</v>
      </c>
      <c r="S134" s="1"/>
      <c r="T134" s="1"/>
      <c r="U134" s="1"/>
      <c r="V134" s="1"/>
      <c r="W134" s="1"/>
      <c r="X134" s="1"/>
      <c r="Y134" s="1"/>
      <c r="Z134" s="1"/>
    </row>
    <row r="135" spans="1:26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 t="s">
        <v>180</v>
      </c>
      <c r="S135" s="1"/>
      <c r="T135" s="1"/>
      <c r="U135" s="1"/>
      <c r="V135" s="1"/>
      <c r="W135" s="1"/>
      <c r="X135" s="1"/>
      <c r="Y135" s="1"/>
      <c r="Z135" s="1"/>
    </row>
  </sheetData>
  <mergeCells count="41">
    <mergeCell ref="A110:A112"/>
    <mergeCell ref="C110:C112"/>
    <mergeCell ref="H110:Y110"/>
    <mergeCell ref="A74:A76"/>
    <mergeCell ref="C74:C76"/>
    <mergeCell ref="H74:Y74"/>
    <mergeCell ref="Z110:Z112"/>
    <mergeCell ref="D111:D112"/>
    <mergeCell ref="E111:E112"/>
    <mergeCell ref="H111:M111"/>
    <mergeCell ref="N111:R111"/>
    <mergeCell ref="S111:X111"/>
    <mergeCell ref="Y111:Y112"/>
    <mergeCell ref="Z74:Z76"/>
    <mergeCell ref="D75:D76"/>
    <mergeCell ref="E75:E76"/>
    <mergeCell ref="H75:M75"/>
    <mergeCell ref="N75:R75"/>
    <mergeCell ref="S75:X75"/>
    <mergeCell ref="Y75:Y76"/>
    <mergeCell ref="Z38:Z40"/>
    <mergeCell ref="D39:D40"/>
    <mergeCell ref="E39:E40"/>
    <mergeCell ref="H39:M39"/>
    <mergeCell ref="N39:R39"/>
    <mergeCell ref="S39:X39"/>
    <mergeCell ref="Y39:Y40"/>
    <mergeCell ref="A38:A40"/>
    <mergeCell ref="C38:C40"/>
    <mergeCell ref="H38:Y38"/>
    <mergeCell ref="A7:A9"/>
    <mergeCell ref="B7:B9"/>
    <mergeCell ref="C7:C9"/>
    <mergeCell ref="H7:Y7"/>
    <mergeCell ref="Z7:Z9"/>
    <mergeCell ref="D8:D9"/>
    <mergeCell ref="E8:E9"/>
    <mergeCell ref="H8:M8"/>
    <mergeCell ref="N8:R8"/>
    <mergeCell ref="S8:X8"/>
    <mergeCell ref="Y8:Y9"/>
  </mergeCells>
  <pageMargins left="1.0629921259842521" right="0.70866141732283472" top="0.35433070866141736" bottom="0.35433070866141736" header="0.31496062992125984" footer="0.31496062992125984"/>
  <pageSetup paperSize="5" orientation="landscape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Z157"/>
  <sheetViews>
    <sheetView topLeftCell="A121" zoomScale="110" zoomScaleNormal="110" workbookViewId="0">
      <selection activeCell="R139" sqref="R139:Y145"/>
    </sheetView>
  </sheetViews>
  <sheetFormatPr defaultRowHeight="15"/>
  <cols>
    <col min="1" max="2" width="4.7109375" customWidth="1"/>
    <col min="3" max="3" width="26" customWidth="1"/>
    <col min="4" max="4" width="14.85546875" customWidth="1"/>
    <col min="5" max="5" width="7.5703125" customWidth="1"/>
    <col min="6" max="6" width="14" customWidth="1"/>
    <col min="7" max="7" width="14.7109375" customWidth="1"/>
    <col min="8" max="24" width="3.28515625" customWidth="1"/>
    <col min="25" max="25" width="3.85546875" customWidth="1"/>
  </cols>
  <sheetData>
    <row r="1" spans="1:26" ht="15" customHeight="1">
      <c r="A1" s="1"/>
      <c r="B1" s="1"/>
      <c r="C1" s="1"/>
      <c r="D1" s="1"/>
      <c r="E1" s="1"/>
      <c r="F1" s="1"/>
      <c r="G1" s="1"/>
      <c r="H1" s="1" t="s">
        <v>0</v>
      </c>
      <c r="I1" s="1"/>
      <c r="J1" s="1"/>
      <c r="K1" s="1"/>
      <c r="L1" s="1"/>
      <c r="M1" s="1"/>
      <c r="N1" s="1"/>
      <c r="O1" s="1" t="s">
        <v>1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P2" s="1" t="s">
        <v>464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111"/>
      <c r="P3" s="2" t="s">
        <v>477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>
      <c r="A4" s="1" t="s">
        <v>2</v>
      </c>
      <c r="B4" s="1"/>
      <c r="C4" s="3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1"/>
      <c r="B5" s="1"/>
      <c r="C5" s="3" t="s">
        <v>465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348" t="s">
        <v>4</v>
      </c>
      <c r="B7" s="354" t="s">
        <v>5</v>
      </c>
      <c r="C7" s="348" t="s">
        <v>6</v>
      </c>
      <c r="D7" s="4" t="s">
        <v>7</v>
      </c>
      <c r="E7" s="4" t="s">
        <v>8</v>
      </c>
      <c r="F7" s="4" t="s">
        <v>9</v>
      </c>
      <c r="G7" s="4" t="s">
        <v>9</v>
      </c>
      <c r="H7" s="348" t="s">
        <v>10</v>
      </c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 t="s">
        <v>11</v>
      </c>
    </row>
    <row r="8" spans="1:26" ht="15" customHeight="1">
      <c r="A8" s="348"/>
      <c r="B8" s="355"/>
      <c r="C8" s="348"/>
      <c r="D8" s="349" t="s">
        <v>12</v>
      </c>
      <c r="E8" s="349" t="s">
        <v>13</v>
      </c>
      <c r="F8" s="195" t="s">
        <v>14</v>
      </c>
      <c r="G8" s="195" t="s">
        <v>15</v>
      </c>
      <c r="H8" s="351" t="s">
        <v>16</v>
      </c>
      <c r="I8" s="352"/>
      <c r="J8" s="352"/>
      <c r="K8" s="352"/>
      <c r="L8" s="352"/>
      <c r="M8" s="352"/>
      <c r="N8" s="353" t="s">
        <v>17</v>
      </c>
      <c r="O8" s="352"/>
      <c r="P8" s="352"/>
      <c r="Q8" s="352"/>
      <c r="R8" s="352"/>
      <c r="S8" s="353" t="s">
        <v>18</v>
      </c>
      <c r="T8" s="352"/>
      <c r="U8" s="352"/>
      <c r="V8" s="352"/>
      <c r="W8" s="352"/>
      <c r="X8" s="352"/>
      <c r="Y8" s="348" t="s">
        <v>19</v>
      </c>
      <c r="Z8" s="348"/>
    </row>
    <row r="9" spans="1:26" ht="15" customHeight="1">
      <c r="A9" s="348"/>
      <c r="B9" s="356"/>
      <c r="C9" s="348"/>
      <c r="D9" s="350"/>
      <c r="E9" s="350"/>
      <c r="F9" s="196" t="s">
        <v>20</v>
      </c>
      <c r="G9" s="196" t="s">
        <v>21</v>
      </c>
      <c r="H9" s="194" t="s">
        <v>22</v>
      </c>
      <c r="I9" s="194" t="s">
        <v>23</v>
      </c>
      <c r="J9" s="194" t="s">
        <v>24</v>
      </c>
      <c r="K9" s="194" t="s">
        <v>25</v>
      </c>
      <c r="L9" s="194" t="s">
        <v>26</v>
      </c>
      <c r="M9" s="194" t="s">
        <v>27</v>
      </c>
      <c r="N9" s="184" t="s">
        <v>22</v>
      </c>
      <c r="O9" s="194" t="s">
        <v>23</v>
      </c>
      <c r="P9" s="194" t="s">
        <v>24</v>
      </c>
      <c r="Q9" s="194" t="s">
        <v>25</v>
      </c>
      <c r="R9" s="194" t="s">
        <v>26</v>
      </c>
      <c r="S9" s="184" t="s">
        <v>22</v>
      </c>
      <c r="T9" s="194" t="s">
        <v>23</v>
      </c>
      <c r="U9" s="194" t="s">
        <v>24</v>
      </c>
      <c r="V9" s="194" t="s">
        <v>25</v>
      </c>
      <c r="W9" s="194" t="s">
        <v>26</v>
      </c>
      <c r="X9" s="194" t="s">
        <v>27</v>
      </c>
      <c r="Y9" s="348"/>
      <c r="Z9" s="348"/>
    </row>
    <row r="10" spans="1:26" ht="15" customHeight="1">
      <c r="A10" s="5">
        <v>1</v>
      </c>
      <c r="B10" s="6" t="s">
        <v>22</v>
      </c>
      <c r="C10" s="7" t="s">
        <v>28</v>
      </c>
      <c r="D10" s="5" t="s">
        <v>29</v>
      </c>
      <c r="E10" s="6" t="s">
        <v>30</v>
      </c>
      <c r="F10" s="8" t="s">
        <v>31</v>
      </c>
      <c r="G10" s="8" t="s">
        <v>31</v>
      </c>
      <c r="H10" s="9"/>
      <c r="I10" s="9"/>
      <c r="J10" s="9"/>
      <c r="K10" s="9"/>
      <c r="L10" s="9">
        <v>4</v>
      </c>
      <c r="M10" s="9">
        <v>4</v>
      </c>
      <c r="N10" s="10"/>
      <c r="O10" s="9"/>
      <c r="P10" s="9"/>
      <c r="Q10" s="9"/>
      <c r="R10" s="9"/>
      <c r="S10" s="10"/>
      <c r="T10" s="9"/>
      <c r="U10" s="9"/>
      <c r="V10" s="9"/>
      <c r="W10" s="9"/>
      <c r="X10" s="9"/>
      <c r="Y10" s="6">
        <f>SUM(H10:X10)</f>
        <v>8</v>
      </c>
      <c r="Z10" s="6" t="s">
        <v>32</v>
      </c>
    </row>
    <row r="11" spans="1:26" ht="15" customHeight="1">
      <c r="A11" s="5"/>
      <c r="B11" s="6"/>
      <c r="C11" s="5" t="s">
        <v>33</v>
      </c>
      <c r="D11" s="5"/>
      <c r="E11" s="5"/>
      <c r="F11" s="8"/>
      <c r="G11" s="8"/>
      <c r="H11" s="9"/>
      <c r="I11" s="9"/>
      <c r="J11" s="9"/>
      <c r="K11" s="9"/>
      <c r="L11" s="9"/>
      <c r="M11" s="9"/>
      <c r="N11" s="10"/>
      <c r="O11" s="9"/>
      <c r="P11" s="9"/>
      <c r="Q11" s="9"/>
      <c r="R11" s="9"/>
      <c r="S11" s="10"/>
      <c r="T11" s="9"/>
      <c r="U11" s="9"/>
      <c r="V11" s="9"/>
      <c r="W11" s="9"/>
      <c r="X11" s="9"/>
      <c r="Y11" s="6"/>
      <c r="Z11" s="6"/>
    </row>
    <row r="12" spans="1:26" ht="15" customHeight="1">
      <c r="A12" s="11"/>
      <c r="B12" s="12"/>
      <c r="C12" s="11"/>
      <c r="D12" s="11"/>
      <c r="E12" s="11"/>
      <c r="F12" s="13"/>
      <c r="G12" s="13"/>
      <c r="H12" s="14"/>
      <c r="I12" s="14"/>
      <c r="J12" s="14"/>
      <c r="K12" s="14"/>
      <c r="L12" s="14"/>
      <c r="M12" s="14"/>
      <c r="N12" s="15"/>
      <c r="O12" s="14"/>
      <c r="P12" s="14"/>
      <c r="Q12" s="14"/>
      <c r="R12" s="14"/>
      <c r="S12" s="15"/>
      <c r="T12" s="14"/>
      <c r="U12" s="14"/>
      <c r="V12" s="14"/>
      <c r="W12" s="14"/>
      <c r="X12" s="14"/>
      <c r="Y12" s="12"/>
      <c r="Z12" s="12"/>
    </row>
    <row r="13" spans="1:26" ht="15" customHeight="1">
      <c r="A13" s="16">
        <v>2</v>
      </c>
      <c r="B13" s="17" t="s">
        <v>23</v>
      </c>
      <c r="C13" s="18" t="s">
        <v>34</v>
      </c>
      <c r="D13" s="16" t="s">
        <v>35</v>
      </c>
      <c r="E13" s="17" t="s">
        <v>30</v>
      </c>
      <c r="F13" s="19" t="s">
        <v>36</v>
      </c>
      <c r="G13" s="19" t="s">
        <v>36</v>
      </c>
      <c r="H13" s="20">
        <v>5</v>
      </c>
      <c r="I13" s="20">
        <v>5</v>
      </c>
      <c r="J13" s="20">
        <v>5</v>
      </c>
      <c r="K13" s="20">
        <v>5</v>
      </c>
      <c r="L13" s="20">
        <v>5</v>
      </c>
      <c r="M13" s="20"/>
      <c r="N13" s="21"/>
      <c r="O13" s="20"/>
      <c r="P13" s="20"/>
      <c r="Q13" s="20"/>
      <c r="R13" s="20"/>
      <c r="S13" s="21"/>
      <c r="T13" s="20"/>
      <c r="U13" s="20"/>
      <c r="V13" s="20"/>
      <c r="W13" s="20"/>
      <c r="X13" s="20"/>
      <c r="Y13" s="17">
        <f>SUM(H13:X14)</f>
        <v>25</v>
      </c>
      <c r="Z13" s="17" t="s">
        <v>37</v>
      </c>
    </row>
    <row r="14" spans="1:26" ht="15" customHeight="1">
      <c r="A14" s="5"/>
      <c r="B14" s="6"/>
      <c r="C14" s="5" t="s">
        <v>38</v>
      </c>
      <c r="D14" s="5"/>
      <c r="E14" s="6"/>
      <c r="F14" s="8"/>
      <c r="G14" s="8"/>
      <c r="H14" s="9"/>
      <c r="I14" s="9"/>
      <c r="J14" s="9"/>
      <c r="K14" s="9"/>
      <c r="L14" s="9"/>
      <c r="M14" s="9"/>
      <c r="N14" s="10"/>
      <c r="O14" s="9"/>
      <c r="P14" s="9"/>
      <c r="Q14" s="9"/>
      <c r="R14" s="9"/>
      <c r="S14" s="24"/>
      <c r="T14" s="23"/>
      <c r="U14" s="23"/>
      <c r="V14" s="9"/>
      <c r="W14" s="9"/>
      <c r="X14" s="9"/>
      <c r="Y14" s="6"/>
      <c r="Z14" s="6" t="s">
        <v>144</v>
      </c>
    </row>
    <row r="15" spans="1:26" ht="15" customHeight="1">
      <c r="A15" s="11"/>
      <c r="B15" s="12"/>
      <c r="C15" s="11"/>
      <c r="D15" s="11"/>
      <c r="E15" s="11"/>
      <c r="F15" s="13"/>
      <c r="G15" s="13"/>
      <c r="H15" s="14"/>
      <c r="I15" s="14"/>
      <c r="J15" s="14"/>
      <c r="K15" s="14"/>
      <c r="L15" s="14"/>
      <c r="M15" s="14"/>
      <c r="N15" s="15"/>
      <c r="O15" s="14"/>
      <c r="P15" s="14"/>
      <c r="Q15" s="14"/>
      <c r="R15" s="14"/>
      <c r="S15" s="15"/>
      <c r="T15" s="14"/>
      <c r="U15" s="14"/>
      <c r="V15" s="14"/>
      <c r="W15" s="14"/>
      <c r="X15" s="14"/>
      <c r="Y15" s="12"/>
      <c r="Z15" s="12"/>
    </row>
    <row r="16" spans="1:26" ht="15" customHeight="1">
      <c r="A16" s="16">
        <v>3</v>
      </c>
      <c r="B16" s="17" t="s">
        <v>24</v>
      </c>
      <c r="C16" s="18" t="s">
        <v>40</v>
      </c>
      <c r="D16" s="16" t="s">
        <v>35</v>
      </c>
      <c r="E16" s="17" t="s">
        <v>30</v>
      </c>
      <c r="F16" s="19" t="s">
        <v>41</v>
      </c>
      <c r="G16" s="19" t="s">
        <v>41</v>
      </c>
      <c r="H16" s="20"/>
      <c r="I16" s="20"/>
      <c r="J16" s="20"/>
      <c r="K16" s="20"/>
      <c r="L16" s="20"/>
      <c r="M16" s="20"/>
      <c r="N16" s="21"/>
      <c r="O16" s="20"/>
      <c r="P16" s="20"/>
      <c r="Q16" s="20"/>
      <c r="R16" s="20"/>
      <c r="S16" s="21">
        <v>4</v>
      </c>
      <c r="T16" s="20">
        <v>4</v>
      </c>
      <c r="U16" s="20">
        <v>4</v>
      </c>
      <c r="V16" s="20">
        <v>4</v>
      </c>
      <c r="W16" s="20">
        <v>4</v>
      </c>
      <c r="X16" s="20">
        <v>4</v>
      </c>
      <c r="Y16" s="17">
        <f>SUM(H16:X18)</f>
        <v>24</v>
      </c>
      <c r="Z16" s="17" t="s">
        <v>427</v>
      </c>
    </row>
    <row r="17" spans="1:26" ht="15" customHeight="1">
      <c r="A17" s="5"/>
      <c r="B17" s="6"/>
      <c r="C17" s="5" t="s">
        <v>42</v>
      </c>
      <c r="D17" s="5"/>
      <c r="E17" s="6"/>
      <c r="F17" s="8"/>
      <c r="G17" s="8"/>
      <c r="H17" s="9"/>
      <c r="I17" s="9"/>
      <c r="J17" s="9"/>
      <c r="K17" s="9"/>
      <c r="L17" s="9"/>
      <c r="M17" s="9"/>
      <c r="N17" s="24"/>
      <c r="O17" s="23"/>
      <c r="P17" s="9"/>
      <c r="Q17" s="9"/>
      <c r="R17" s="9"/>
      <c r="S17" s="10"/>
      <c r="T17" s="9"/>
      <c r="U17" s="9"/>
      <c r="V17" s="9"/>
      <c r="W17" s="9"/>
      <c r="X17" s="9"/>
      <c r="Y17" s="6"/>
      <c r="Z17" s="6" t="s">
        <v>51</v>
      </c>
    </row>
    <row r="18" spans="1:26" ht="15" customHeight="1">
      <c r="A18" s="11"/>
      <c r="B18" s="12"/>
      <c r="C18" s="11"/>
      <c r="D18" s="11"/>
      <c r="E18" s="12"/>
      <c r="F18" s="13"/>
      <c r="G18" s="13"/>
      <c r="H18" s="14"/>
      <c r="I18" s="14"/>
      <c r="J18" s="14"/>
      <c r="K18" s="14"/>
      <c r="L18" s="14"/>
      <c r="M18" s="14"/>
      <c r="N18" s="15"/>
      <c r="O18" s="14"/>
      <c r="P18" s="14"/>
      <c r="Q18" s="14"/>
      <c r="R18" s="14"/>
      <c r="S18" s="15"/>
      <c r="T18" s="14"/>
      <c r="U18" s="14"/>
      <c r="V18" s="14"/>
      <c r="W18" s="14"/>
      <c r="X18" s="14"/>
      <c r="Y18" s="12"/>
      <c r="Z18" s="12"/>
    </row>
    <row r="19" spans="1:26" ht="15" customHeight="1">
      <c r="A19" s="16">
        <v>4</v>
      </c>
      <c r="B19" s="17" t="s">
        <v>25</v>
      </c>
      <c r="C19" s="18" t="s">
        <v>44</v>
      </c>
      <c r="D19" s="16" t="s">
        <v>35</v>
      </c>
      <c r="E19" s="17" t="s">
        <v>30</v>
      </c>
      <c r="F19" s="8" t="s">
        <v>45</v>
      </c>
      <c r="G19" s="8" t="s">
        <v>45</v>
      </c>
      <c r="H19" s="9">
        <v>2</v>
      </c>
      <c r="I19" s="9">
        <v>2</v>
      </c>
      <c r="J19" s="9">
        <v>2</v>
      </c>
      <c r="K19" s="9">
        <v>2</v>
      </c>
      <c r="L19" s="9">
        <v>2</v>
      </c>
      <c r="M19" s="9">
        <v>2</v>
      </c>
      <c r="N19" s="10"/>
      <c r="O19" s="9"/>
      <c r="P19" s="9"/>
      <c r="Q19" s="9"/>
      <c r="R19" s="9"/>
      <c r="S19" s="10">
        <v>2</v>
      </c>
      <c r="T19" s="9">
        <v>2</v>
      </c>
      <c r="U19" s="9">
        <v>2</v>
      </c>
      <c r="V19" s="9">
        <v>2</v>
      </c>
      <c r="W19" s="9">
        <v>2</v>
      </c>
      <c r="X19" s="9">
        <v>2</v>
      </c>
      <c r="Y19" s="17">
        <f>SUM(H19:X20)</f>
        <v>24</v>
      </c>
      <c r="Z19" s="17"/>
    </row>
    <row r="20" spans="1:26" ht="15" customHeight="1">
      <c r="A20" s="5"/>
      <c r="B20" s="6"/>
      <c r="C20" s="5" t="s">
        <v>47</v>
      </c>
      <c r="D20" s="5"/>
      <c r="E20" s="5"/>
      <c r="F20" s="8"/>
      <c r="G20" s="8"/>
      <c r="H20" s="9"/>
      <c r="I20" s="9"/>
      <c r="J20" s="9"/>
      <c r="K20" s="9"/>
      <c r="L20" s="9"/>
      <c r="M20" s="9"/>
      <c r="N20" s="10"/>
      <c r="O20" s="9"/>
      <c r="P20" s="9"/>
      <c r="Q20" s="9"/>
      <c r="R20" s="9"/>
      <c r="S20" s="10"/>
      <c r="T20" s="9"/>
      <c r="U20" s="9"/>
      <c r="V20" s="9"/>
      <c r="W20" s="9"/>
      <c r="X20" s="9"/>
      <c r="Y20" s="6"/>
      <c r="Z20" s="6"/>
    </row>
    <row r="21" spans="1:26" ht="15" customHeight="1">
      <c r="A21" s="11"/>
      <c r="B21" s="12"/>
      <c r="C21" s="11"/>
      <c r="D21" s="11"/>
      <c r="E21" s="12"/>
      <c r="F21" s="13"/>
      <c r="G21" s="13"/>
      <c r="H21" s="14"/>
      <c r="I21" s="14"/>
      <c r="J21" s="14"/>
      <c r="K21" s="14"/>
      <c r="L21" s="14"/>
      <c r="M21" s="14"/>
      <c r="N21" s="15"/>
      <c r="O21" s="14"/>
      <c r="P21" s="14"/>
      <c r="Q21" s="14"/>
      <c r="R21" s="14"/>
      <c r="S21" s="15"/>
      <c r="T21" s="14"/>
      <c r="U21" s="14"/>
      <c r="V21" s="14"/>
      <c r="W21" s="14"/>
      <c r="X21" s="14"/>
      <c r="Y21" s="12"/>
      <c r="Z21" s="12"/>
    </row>
    <row r="22" spans="1:26" ht="15" customHeight="1">
      <c r="A22" s="16">
        <v>5</v>
      </c>
      <c r="B22" s="17" t="s">
        <v>26</v>
      </c>
      <c r="C22" s="18" t="s">
        <v>48</v>
      </c>
      <c r="D22" s="16" t="s">
        <v>35</v>
      </c>
      <c r="E22" s="17" t="s">
        <v>30</v>
      </c>
      <c r="F22" s="19" t="s">
        <v>49</v>
      </c>
      <c r="G22" s="19" t="s">
        <v>49</v>
      </c>
      <c r="H22" s="20">
        <v>2</v>
      </c>
      <c r="I22" s="20">
        <v>2</v>
      </c>
      <c r="J22" s="20">
        <v>2</v>
      </c>
      <c r="K22" s="20">
        <v>2</v>
      </c>
      <c r="L22" s="20">
        <v>2</v>
      </c>
      <c r="M22" s="20">
        <v>2</v>
      </c>
      <c r="N22" s="21"/>
      <c r="O22" s="20"/>
      <c r="P22" s="20"/>
      <c r="Q22" s="20"/>
      <c r="R22" s="20"/>
      <c r="S22" s="21">
        <v>2</v>
      </c>
      <c r="T22" s="20">
        <v>2</v>
      </c>
      <c r="U22" s="20">
        <v>2</v>
      </c>
      <c r="V22" s="20">
        <v>2</v>
      </c>
      <c r="W22" s="20">
        <v>2</v>
      </c>
      <c r="X22" s="20">
        <v>2</v>
      </c>
      <c r="Y22" s="17">
        <f>SUM(H22:X22)</f>
        <v>24</v>
      </c>
      <c r="Z22" s="17" t="s">
        <v>37</v>
      </c>
    </row>
    <row r="23" spans="1:26" ht="15" customHeight="1">
      <c r="A23" s="5"/>
      <c r="B23" s="6"/>
      <c r="C23" s="5" t="s">
        <v>50</v>
      </c>
      <c r="D23" s="5"/>
      <c r="E23" s="5"/>
      <c r="F23" s="8"/>
      <c r="G23" s="8"/>
      <c r="H23" s="9"/>
      <c r="I23" s="9"/>
      <c r="J23" s="9"/>
      <c r="K23" s="9"/>
      <c r="L23" s="9"/>
      <c r="M23" s="9"/>
      <c r="N23" s="10"/>
      <c r="O23" s="9"/>
      <c r="P23" s="9"/>
      <c r="Q23" s="9"/>
      <c r="R23" s="9"/>
      <c r="S23" s="10"/>
      <c r="T23" s="9"/>
      <c r="U23" s="9"/>
      <c r="V23" s="9"/>
      <c r="W23" s="9"/>
      <c r="X23" s="9"/>
      <c r="Y23" s="6"/>
      <c r="Z23" s="6" t="s">
        <v>332</v>
      </c>
    </row>
    <row r="24" spans="1:26" ht="15" customHeight="1">
      <c r="A24" s="11"/>
      <c r="B24" s="12"/>
      <c r="C24" s="25"/>
      <c r="D24" s="11"/>
      <c r="E24" s="11"/>
      <c r="F24" s="13"/>
      <c r="G24" s="13"/>
      <c r="H24" s="14"/>
      <c r="I24" s="14"/>
      <c r="J24" s="14"/>
      <c r="K24" s="14"/>
      <c r="L24" s="14"/>
      <c r="M24" s="14"/>
      <c r="N24" s="15"/>
      <c r="O24" s="14"/>
      <c r="P24" s="14"/>
      <c r="Q24" s="14"/>
      <c r="R24" s="14"/>
      <c r="S24" s="15"/>
      <c r="T24" s="14"/>
      <c r="U24" s="14"/>
      <c r="V24" s="14"/>
      <c r="W24" s="14"/>
      <c r="X24" s="14"/>
      <c r="Y24" s="12"/>
      <c r="Z24" s="11"/>
    </row>
    <row r="25" spans="1:26" ht="15" customHeight="1">
      <c r="A25" s="16">
        <v>6</v>
      </c>
      <c r="B25" s="17" t="s">
        <v>27</v>
      </c>
      <c r="C25" s="18" t="s">
        <v>52</v>
      </c>
      <c r="D25" s="16" t="s">
        <v>35</v>
      </c>
      <c r="E25" s="17" t="s">
        <v>30</v>
      </c>
      <c r="F25" s="19" t="s">
        <v>53</v>
      </c>
      <c r="G25" s="19" t="s">
        <v>53</v>
      </c>
      <c r="H25" s="20"/>
      <c r="I25" s="20"/>
      <c r="J25" s="20"/>
      <c r="K25" s="20"/>
      <c r="L25" s="20"/>
      <c r="M25" s="20"/>
      <c r="N25" s="21"/>
      <c r="O25" s="20">
        <v>4</v>
      </c>
      <c r="P25" s="20">
        <v>4</v>
      </c>
      <c r="Q25" s="20">
        <v>4</v>
      </c>
      <c r="R25" s="20">
        <v>4</v>
      </c>
      <c r="S25" s="21">
        <v>4</v>
      </c>
      <c r="T25" s="20">
        <v>4</v>
      </c>
      <c r="U25" s="20"/>
      <c r="V25" s="20"/>
      <c r="W25" s="20"/>
      <c r="X25" s="20"/>
      <c r="Y25" s="17">
        <f>SUM(I25:X27)</f>
        <v>24</v>
      </c>
      <c r="Z25" s="17" t="s">
        <v>37</v>
      </c>
    </row>
    <row r="26" spans="1:26" ht="15" customHeight="1">
      <c r="A26" s="5"/>
      <c r="B26" s="6"/>
      <c r="C26" s="5" t="s">
        <v>54</v>
      </c>
      <c r="D26" s="5"/>
      <c r="E26" s="5"/>
      <c r="F26" s="8"/>
      <c r="G26" s="8"/>
      <c r="H26" s="9"/>
      <c r="I26" s="9"/>
      <c r="J26" s="9"/>
      <c r="K26" s="9"/>
      <c r="L26" s="9"/>
      <c r="M26" s="9"/>
      <c r="N26" s="10"/>
      <c r="O26" s="9"/>
      <c r="P26" s="9"/>
      <c r="Q26" s="9"/>
      <c r="R26" s="9"/>
      <c r="S26" s="10"/>
      <c r="T26" s="9"/>
      <c r="U26" s="9"/>
      <c r="V26" s="26"/>
      <c r="W26" s="26"/>
      <c r="X26" s="26"/>
      <c r="Y26" s="27"/>
      <c r="Z26" s="6" t="s">
        <v>89</v>
      </c>
    </row>
    <row r="27" spans="1:26" ht="15" customHeight="1">
      <c r="A27" s="11"/>
      <c r="B27" s="12"/>
      <c r="C27" s="11"/>
      <c r="D27" s="11"/>
      <c r="E27" s="11"/>
      <c r="F27" s="13"/>
      <c r="G27" s="13"/>
      <c r="H27" s="14"/>
      <c r="I27" s="14"/>
      <c r="J27" s="14"/>
      <c r="K27" s="14"/>
      <c r="L27" s="14"/>
      <c r="M27" s="14"/>
      <c r="N27" s="15"/>
      <c r="O27" s="14"/>
      <c r="P27" s="14"/>
      <c r="Q27" s="14"/>
      <c r="R27" s="14"/>
      <c r="S27" s="15"/>
      <c r="T27" s="14"/>
      <c r="U27" s="14"/>
      <c r="V27" s="14"/>
      <c r="W27" s="14"/>
      <c r="X27" s="14"/>
      <c r="Y27" s="12"/>
      <c r="Z27" s="11"/>
    </row>
    <row r="28" spans="1:26" ht="15" customHeight="1">
      <c r="A28" s="16">
        <v>7</v>
      </c>
      <c r="B28" s="17" t="s">
        <v>57</v>
      </c>
      <c r="C28" s="18" t="s">
        <v>58</v>
      </c>
      <c r="D28" s="16" t="s">
        <v>35</v>
      </c>
      <c r="E28" s="17" t="s">
        <v>30</v>
      </c>
      <c r="F28" s="19" t="s">
        <v>41</v>
      </c>
      <c r="G28" s="19" t="s">
        <v>41</v>
      </c>
      <c r="H28" s="20">
        <v>4</v>
      </c>
      <c r="I28" s="20">
        <v>4</v>
      </c>
      <c r="J28" s="20">
        <v>4</v>
      </c>
      <c r="K28" s="20">
        <v>4</v>
      </c>
      <c r="L28" s="20">
        <v>4</v>
      </c>
      <c r="M28" s="20">
        <v>4</v>
      </c>
      <c r="N28" s="21"/>
      <c r="O28" s="20"/>
      <c r="P28" s="20"/>
      <c r="Q28" s="20"/>
      <c r="R28" s="20"/>
      <c r="S28" s="21"/>
      <c r="T28" s="20"/>
      <c r="U28" s="20"/>
      <c r="V28" s="20"/>
      <c r="W28" s="20"/>
      <c r="X28" s="20"/>
      <c r="Y28" s="17">
        <f>SUM(H28:X29)</f>
        <v>24</v>
      </c>
      <c r="Z28" s="17" t="s">
        <v>59</v>
      </c>
    </row>
    <row r="29" spans="1:26" ht="15" customHeight="1">
      <c r="A29" s="5"/>
      <c r="B29" s="6"/>
      <c r="C29" s="5" t="s">
        <v>60</v>
      </c>
      <c r="D29" s="5"/>
      <c r="E29" s="5"/>
      <c r="F29" s="106"/>
      <c r="G29" s="8"/>
      <c r="H29" s="23"/>
      <c r="I29" s="23"/>
      <c r="J29" s="9"/>
      <c r="K29" s="9"/>
      <c r="L29" s="9"/>
      <c r="M29" s="9"/>
      <c r="N29" s="10"/>
      <c r="O29" s="9"/>
      <c r="P29" s="9"/>
      <c r="Q29" s="9"/>
      <c r="R29" s="9"/>
      <c r="S29" s="10"/>
      <c r="T29" s="9"/>
      <c r="U29" s="9"/>
      <c r="V29" s="9"/>
      <c r="W29" s="23"/>
      <c r="X29" s="23"/>
      <c r="Y29" s="6"/>
      <c r="Z29" s="6"/>
    </row>
    <row r="30" spans="1:26" ht="15" customHeight="1">
      <c r="A30" s="11"/>
      <c r="B30" s="12"/>
      <c r="C30" s="11"/>
      <c r="D30" s="11"/>
      <c r="E30" s="11"/>
      <c r="F30" s="13"/>
      <c r="G30" s="13"/>
      <c r="H30" s="14"/>
      <c r="I30" s="14"/>
      <c r="J30" s="14"/>
      <c r="K30" s="14"/>
      <c r="L30" s="14"/>
      <c r="M30" s="14"/>
      <c r="N30" s="15"/>
      <c r="O30" s="14"/>
      <c r="P30" s="14"/>
      <c r="Q30" s="14"/>
      <c r="R30" s="14"/>
      <c r="S30" s="15"/>
      <c r="T30" s="14"/>
      <c r="U30" s="14"/>
      <c r="V30" s="14"/>
      <c r="W30" s="14"/>
      <c r="X30" s="14"/>
      <c r="Y30" s="12"/>
      <c r="Z30" s="11"/>
    </row>
    <row r="31" spans="1:26" ht="15" customHeight="1">
      <c r="A31" s="16">
        <v>8</v>
      </c>
      <c r="B31" s="17" t="s">
        <v>61</v>
      </c>
      <c r="C31" s="18" t="s">
        <v>424</v>
      </c>
      <c r="D31" s="16" t="s">
        <v>35</v>
      </c>
      <c r="E31" s="17" t="s">
        <v>30</v>
      </c>
      <c r="F31" s="19" t="s">
        <v>62</v>
      </c>
      <c r="G31" s="19" t="s">
        <v>62</v>
      </c>
      <c r="H31" s="20"/>
      <c r="I31" s="20"/>
      <c r="J31" s="20"/>
      <c r="K31" s="20"/>
      <c r="L31" s="20"/>
      <c r="M31" s="20"/>
      <c r="N31" s="21"/>
      <c r="O31" s="20">
        <v>4</v>
      </c>
      <c r="P31" s="20">
        <v>4</v>
      </c>
      <c r="Q31" s="20">
        <v>4</v>
      </c>
      <c r="R31" s="20">
        <v>4</v>
      </c>
      <c r="S31" s="21">
        <v>4</v>
      </c>
      <c r="T31" s="20">
        <v>4</v>
      </c>
      <c r="U31" s="20"/>
      <c r="V31" s="20"/>
      <c r="W31" s="20"/>
      <c r="X31" s="20"/>
      <c r="Y31" s="17">
        <f>SUM(H31:X33)</f>
        <v>24</v>
      </c>
      <c r="Z31" s="16" t="s">
        <v>63</v>
      </c>
    </row>
    <row r="32" spans="1:26" ht="15" customHeight="1">
      <c r="A32" s="5"/>
      <c r="B32" s="6"/>
      <c r="C32" s="5" t="s">
        <v>64</v>
      </c>
      <c r="D32" s="5"/>
      <c r="E32" s="5"/>
      <c r="F32" s="8"/>
      <c r="G32" s="8"/>
      <c r="H32" s="9"/>
      <c r="I32" s="9"/>
      <c r="J32" s="9"/>
      <c r="K32" s="9"/>
      <c r="L32" s="9"/>
      <c r="M32" s="9"/>
      <c r="N32" s="10"/>
      <c r="O32" s="9"/>
      <c r="P32" s="9"/>
      <c r="Q32" s="9"/>
      <c r="R32" s="9"/>
      <c r="S32" s="10"/>
      <c r="T32" s="9"/>
      <c r="U32" s="9"/>
      <c r="V32" s="9"/>
      <c r="W32" s="9"/>
      <c r="X32" s="9"/>
      <c r="Y32" s="6"/>
      <c r="Z32" s="6"/>
    </row>
    <row r="33" spans="1:26" ht="15" customHeight="1">
      <c r="A33" s="11"/>
      <c r="B33" s="12"/>
      <c r="C33" s="11"/>
      <c r="D33" s="11"/>
      <c r="E33" s="11"/>
      <c r="F33" s="13"/>
      <c r="G33" s="13"/>
      <c r="H33" s="14"/>
      <c r="I33" s="14"/>
      <c r="J33" s="14"/>
      <c r="K33" s="14"/>
      <c r="L33" s="14"/>
      <c r="M33" s="14"/>
      <c r="N33" s="15"/>
      <c r="O33" s="14"/>
      <c r="P33" s="14"/>
      <c r="Q33" s="14"/>
      <c r="R33" s="14"/>
      <c r="S33" s="15"/>
      <c r="T33" s="14"/>
      <c r="U33" s="14"/>
      <c r="V33" s="14"/>
      <c r="W33" s="14"/>
      <c r="X33" s="14"/>
      <c r="Y33" s="12"/>
      <c r="Z33" s="11"/>
    </row>
    <row r="34" spans="1:26" ht="15" customHeight="1">
      <c r="A34" s="16">
        <v>9</v>
      </c>
      <c r="B34" s="17" t="s">
        <v>65</v>
      </c>
      <c r="C34" s="18" t="s">
        <v>66</v>
      </c>
      <c r="D34" s="16" t="s">
        <v>35</v>
      </c>
      <c r="E34" s="17" t="s">
        <v>30</v>
      </c>
      <c r="F34" s="19" t="s">
        <v>67</v>
      </c>
      <c r="G34" s="59" t="s">
        <v>67</v>
      </c>
      <c r="H34" s="20"/>
      <c r="I34" s="20"/>
      <c r="J34" s="20"/>
      <c r="K34" s="20"/>
      <c r="L34" s="20"/>
      <c r="M34" s="20"/>
      <c r="N34" s="21"/>
      <c r="O34" s="20"/>
      <c r="P34" s="20">
        <v>2</v>
      </c>
      <c r="Q34" s="20"/>
      <c r="R34" s="20">
        <v>2</v>
      </c>
      <c r="S34" s="21">
        <v>2</v>
      </c>
      <c r="T34" s="20">
        <v>2</v>
      </c>
      <c r="U34" s="20">
        <v>2</v>
      </c>
      <c r="V34" s="20">
        <v>2</v>
      </c>
      <c r="W34" s="20">
        <v>2</v>
      </c>
      <c r="X34" s="20">
        <v>2</v>
      </c>
      <c r="Y34" s="17">
        <f>SUM(H34:X35)</f>
        <v>24</v>
      </c>
      <c r="Z34" s="6" t="s">
        <v>37</v>
      </c>
    </row>
    <row r="35" spans="1:26" ht="15" customHeight="1">
      <c r="A35" s="5"/>
      <c r="B35" s="6"/>
      <c r="C35" s="5" t="s">
        <v>68</v>
      </c>
      <c r="D35" s="5"/>
      <c r="E35" s="5"/>
      <c r="F35" s="8" t="s">
        <v>466</v>
      </c>
      <c r="G35" s="8"/>
      <c r="H35" s="9"/>
      <c r="I35" s="9"/>
      <c r="J35" s="9"/>
      <c r="K35" s="9"/>
      <c r="L35" s="9"/>
      <c r="M35" s="9"/>
      <c r="N35" s="10"/>
      <c r="O35" s="9"/>
      <c r="P35" s="9">
        <v>1</v>
      </c>
      <c r="Q35" s="9"/>
      <c r="R35" s="9">
        <v>1</v>
      </c>
      <c r="S35" s="10">
        <v>1</v>
      </c>
      <c r="T35" s="9">
        <v>1</v>
      </c>
      <c r="U35" s="9">
        <v>1</v>
      </c>
      <c r="V35" s="9">
        <v>1</v>
      </c>
      <c r="W35" s="9">
        <v>1</v>
      </c>
      <c r="X35" s="9">
        <v>1</v>
      </c>
      <c r="Y35" s="6"/>
      <c r="Z35" s="6" t="s">
        <v>56</v>
      </c>
    </row>
    <row r="36" spans="1:26" ht="15" customHeight="1">
      <c r="A36" s="11"/>
      <c r="B36" s="12"/>
      <c r="C36" s="11"/>
      <c r="D36" s="11"/>
      <c r="E36" s="11"/>
      <c r="F36" s="13"/>
      <c r="G36" s="13"/>
      <c r="H36" s="14"/>
      <c r="I36" s="14"/>
      <c r="J36" s="14"/>
      <c r="K36" s="14"/>
      <c r="L36" s="14"/>
      <c r="M36" s="14"/>
      <c r="N36" s="15"/>
      <c r="O36" s="14"/>
      <c r="P36" s="14"/>
      <c r="Q36" s="14"/>
      <c r="R36" s="14"/>
      <c r="S36" s="15"/>
      <c r="T36" s="14"/>
      <c r="U36" s="14"/>
      <c r="V36" s="14"/>
      <c r="W36" s="14"/>
      <c r="X36" s="14"/>
      <c r="Y36" s="12"/>
      <c r="Z36" s="11"/>
    </row>
    <row r="37" spans="1:26" ht="15" customHeight="1">
      <c r="A37" s="28"/>
      <c r="B37" s="29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5" customHeight="1">
      <c r="A38" s="2"/>
      <c r="B38" s="30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>
      <c r="A39" s="348" t="s">
        <v>4</v>
      </c>
      <c r="B39" s="4"/>
      <c r="C39" s="348" t="s">
        <v>6</v>
      </c>
      <c r="D39" s="4" t="s">
        <v>7</v>
      </c>
      <c r="E39" s="4" t="s">
        <v>8</v>
      </c>
      <c r="F39" s="4" t="s">
        <v>9</v>
      </c>
      <c r="G39" s="4" t="s">
        <v>9</v>
      </c>
      <c r="H39" s="348" t="s">
        <v>10</v>
      </c>
      <c r="I39" s="348"/>
      <c r="J39" s="348"/>
      <c r="K39" s="348"/>
      <c r="L39" s="348"/>
      <c r="M39" s="348"/>
      <c r="N39" s="348"/>
      <c r="O39" s="348"/>
      <c r="P39" s="348"/>
      <c r="Q39" s="348"/>
      <c r="R39" s="348"/>
      <c r="S39" s="348"/>
      <c r="T39" s="348"/>
      <c r="U39" s="348"/>
      <c r="V39" s="348"/>
      <c r="W39" s="348"/>
      <c r="X39" s="348"/>
      <c r="Y39" s="348"/>
      <c r="Z39" s="348" t="s">
        <v>69</v>
      </c>
    </row>
    <row r="40" spans="1:26" ht="15" customHeight="1">
      <c r="A40" s="348"/>
      <c r="B40" s="195" t="s">
        <v>5</v>
      </c>
      <c r="C40" s="348"/>
      <c r="D40" s="349" t="s">
        <v>12</v>
      </c>
      <c r="E40" s="349" t="s">
        <v>13</v>
      </c>
      <c r="F40" s="195" t="s">
        <v>14</v>
      </c>
      <c r="G40" s="195" t="s">
        <v>15</v>
      </c>
      <c r="H40" s="351" t="s">
        <v>16</v>
      </c>
      <c r="I40" s="352"/>
      <c r="J40" s="352"/>
      <c r="K40" s="352"/>
      <c r="L40" s="352"/>
      <c r="M40" s="352"/>
      <c r="N40" s="353" t="s">
        <v>17</v>
      </c>
      <c r="O40" s="352"/>
      <c r="P40" s="352"/>
      <c r="Q40" s="352"/>
      <c r="R40" s="352"/>
      <c r="S40" s="353" t="s">
        <v>18</v>
      </c>
      <c r="T40" s="352"/>
      <c r="U40" s="352"/>
      <c r="V40" s="352"/>
      <c r="W40" s="352"/>
      <c r="X40" s="352"/>
      <c r="Y40" s="348" t="s">
        <v>19</v>
      </c>
      <c r="Z40" s="348"/>
    </row>
    <row r="41" spans="1:26" ht="15" customHeight="1">
      <c r="A41" s="348"/>
      <c r="B41" s="196"/>
      <c r="C41" s="348"/>
      <c r="D41" s="350"/>
      <c r="E41" s="350"/>
      <c r="F41" s="196" t="s">
        <v>20</v>
      </c>
      <c r="G41" s="196" t="s">
        <v>21</v>
      </c>
      <c r="H41" s="194" t="s">
        <v>22</v>
      </c>
      <c r="I41" s="194" t="s">
        <v>23</v>
      </c>
      <c r="J41" s="194" t="s">
        <v>24</v>
      </c>
      <c r="K41" s="194" t="s">
        <v>25</v>
      </c>
      <c r="L41" s="194" t="s">
        <v>26</v>
      </c>
      <c r="M41" s="194" t="s">
        <v>27</v>
      </c>
      <c r="N41" s="184" t="s">
        <v>22</v>
      </c>
      <c r="O41" s="194" t="s">
        <v>23</v>
      </c>
      <c r="P41" s="194" t="s">
        <v>24</v>
      </c>
      <c r="Q41" s="194" t="s">
        <v>25</v>
      </c>
      <c r="R41" s="194" t="s">
        <v>26</v>
      </c>
      <c r="S41" s="184" t="s">
        <v>22</v>
      </c>
      <c r="T41" s="194" t="s">
        <v>23</v>
      </c>
      <c r="U41" s="194" t="s">
        <v>24</v>
      </c>
      <c r="V41" s="194" t="s">
        <v>25</v>
      </c>
      <c r="W41" s="194" t="s">
        <v>26</v>
      </c>
      <c r="X41" s="194" t="s">
        <v>27</v>
      </c>
      <c r="Y41" s="348"/>
      <c r="Z41" s="348"/>
    </row>
    <row r="42" spans="1:26" ht="15" customHeight="1">
      <c r="A42" s="16"/>
      <c r="B42" s="17"/>
      <c r="C42" s="16"/>
      <c r="D42" s="16"/>
      <c r="E42" s="16"/>
      <c r="F42" s="19"/>
      <c r="G42" s="19"/>
      <c r="H42" s="20"/>
      <c r="I42" s="20"/>
      <c r="J42" s="20"/>
      <c r="K42" s="20"/>
      <c r="L42" s="20"/>
      <c r="M42" s="20"/>
      <c r="N42" s="21"/>
      <c r="O42" s="20"/>
      <c r="P42" s="20"/>
      <c r="Q42" s="20"/>
      <c r="R42" s="20"/>
      <c r="S42" s="21"/>
      <c r="T42" s="20"/>
      <c r="U42" s="20"/>
      <c r="V42" s="20"/>
      <c r="W42" s="20"/>
      <c r="X42" s="20"/>
      <c r="Y42" s="17"/>
      <c r="Z42" s="16"/>
    </row>
    <row r="43" spans="1:26" ht="15" customHeight="1">
      <c r="A43" s="5">
        <v>10</v>
      </c>
      <c r="B43" s="6" t="s">
        <v>70</v>
      </c>
      <c r="C43" s="7" t="s">
        <v>71</v>
      </c>
      <c r="D43" s="5" t="s">
        <v>35</v>
      </c>
      <c r="E43" s="6" t="s">
        <v>30</v>
      </c>
      <c r="F43" s="8" t="s">
        <v>31</v>
      </c>
      <c r="G43" s="8" t="s">
        <v>31</v>
      </c>
      <c r="H43" s="9"/>
      <c r="I43" s="9"/>
      <c r="J43" s="9">
        <v>4</v>
      </c>
      <c r="K43" s="9">
        <v>4</v>
      </c>
      <c r="L43" s="9"/>
      <c r="M43" s="9"/>
      <c r="N43" s="10">
        <v>4</v>
      </c>
      <c r="O43" s="9">
        <v>4</v>
      </c>
      <c r="P43" s="9">
        <v>4</v>
      </c>
      <c r="Q43" s="9"/>
      <c r="R43" s="9">
        <v>4</v>
      </c>
      <c r="S43" s="10"/>
      <c r="T43" s="9"/>
      <c r="U43" s="9"/>
      <c r="V43" s="9"/>
      <c r="W43" s="9"/>
      <c r="X43" s="9"/>
      <c r="Y43" s="6">
        <f>SUM(H43:X44)</f>
        <v>24</v>
      </c>
      <c r="Z43" s="6" t="s">
        <v>37</v>
      </c>
    </row>
    <row r="44" spans="1:26" ht="15" customHeight="1">
      <c r="A44" s="5"/>
      <c r="B44" s="6"/>
      <c r="C44" s="5" t="s">
        <v>72</v>
      </c>
      <c r="D44" s="5"/>
      <c r="E44" s="5"/>
      <c r="F44" s="8"/>
      <c r="G44" s="8"/>
      <c r="H44" s="9"/>
      <c r="I44" s="9"/>
      <c r="J44" s="9"/>
      <c r="K44" s="9"/>
      <c r="L44" s="9"/>
      <c r="M44" s="9"/>
      <c r="N44" s="10"/>
      <c r="O44" s="9"/>
      <c r="P44" s="9"/>
      <c r="Q44" s="9"/>
      <c r="R44" s="9"/>
      <c r="S44" s="10"/>
      <c r="T44" s="9"/>
      <c r="U44" s="9"/>
      <c r="V44" s="9"/>
      <c r="W44" s="9"/>
      <c r="X44" s="9"/>
      <c r="Y44" s="6"/>
      <c r="Z44" s="6" t="s">
        <v>107</v>
      </c>
    </row>
    <row r="45" spans="1:26" ht="15" customHeight="1">
      <c r="A45" s="11"/>
      <c r="B45" s="12"/>
      <c r="C45" s="11"/>
      <c r="D45" s="11"/>
      <c r="E45" s="11"/>
      <c r="F45" s="13"/>
      <c r="G45" s="13"/>
      <c r="H45" s="14"/>
      <c r="I45" s="14"/>
      <c r="J45" s="14"/>
      <c r="K45" s="14"/>
      <c r="L45" s="14"/>
      <c r="M45" s="14"/>
      <c r="N45" s="15"/>
      <c r="O45" s="14"/>
      <c r="P45" s="14"/>
      <c r="Q45" s="14"/>
      <c r="R45" s="14"/>
      <c r="S45" s="15"/>
      <c r="T45" s="14"/>
      <c r="U45" s="14"/>
      <c r="V45" s="14"/>
      <c r="W45" s="14"/>
      <c r="X45" s="14"/>
      <c r="Y45" s="12"/>
      <c r="Z45" s="11"/>
    </row>
    <row r="46" spans="1:26" ht="15" customHeight="1">
      <c r="A46" s="16">
        <v>11</v>
      </c>
      <c r="B46" s="17" t="s">
        <v>73</v>
      </c>
      <c r="C46" s="18" t="s">
        <v>74</v>
      </c>
      <c r="D46" s="16" t="s">
        <v>35</v>
      </c>
      <c r="E46" s="17" t="s">
        <v>30</v>
      </c>
      <c r="F46" s="19" t="s">
        <v>75</v>
      </c>
      <c r="G46" s="19" t="s">
        <v>75</v>
      </c>
      <c r="H46" s="31">
        <v>2</v>
      </c>
      <c r="I46" s="31">
        <v>2</v>
      </c>
      <c r="J46" s="31">
        <v>2</v>
      </c>
      <c r="K46" s="31">
        <v>2</v>
      </c>
      <c r="L46" s="31">
        <v>2</v>
      </c>
      <c r="M46" s="31">
        <v>2</v>
      </c>
      <c r="N46" s="21"/>
      <c r="O46" s="20"/>
      <c r="P46" s="20"/>
      <c r="Q46" s="20"/>
      <c r="R46" s="20"/>
      <c r="S46" s="21">
        <v>2</v>
      </c>
      <c r="T46" s="20">
        <v>2</v>
      </c>
      <c r="U46" s="20">
        <v>2</v>
      </c>
      <c r="V46" s="20">
        <v>2</v>
      </c>
      <c r="W46" s="20">
        <v>2</v>
      </c>
      <c r="X46" s="20">
        <v>2</v>
      </c>
      <c r="Y46" s="17">
        <f>SUM(H46:X48)</f>
        <v>24</v>
      </c>
      <c r="Z46" s="17" t="s">
        <v>37</v>
      </c>
    </row>
    <row r="47" spans="1:26" ht="15" customHeight="1">
      <c r="A47" s="5"/>
      <c r="B47" s="6"/>
      <c r="C47" s="5" t="s">
        <v>76</v>
      </c>
      <c r="D47" s="5"/>
      <c r="E47" s="5"/>
      <c r="F47" s="8"/>
      <c r="G47" s="8"/>
      <c r="H47" s="9"/>
      <c r="I47" s="9"/>
      <c r="J47" s="9"/>
      <c r="K47" s="9"/>
      <c r="L47" s="9"/>
      <c r="M47" s="9"/>
      <c r="N47" s="24"/>
      <c r="O47" s="23"/>
      <c r="P47" s="9"/>
      <c r="Q47" s="9"/>
      <c r="R47" s="9"/>
      <c r="S47" s="10"/>
      <c r="T47" s="9"/>
      <c r="U47" s="9"/>
      <c r="V47" s="9"/>
      <c r="W47" s="9"/>
      <c r="X47" s="9"/>
      <c r="Y47" s="6"/>
      <c r="Z47" s="6" t="s">
        <v>77</v>
      </c>
    </row>
    <row r="48" spans="1:26" ht="15" customHeight="1">
      <c r="A48" s="11"/>
      <c r="B48" s="12"/>
      <c r="C48" s="11"/>
      <c r="D48" s="11"/>
      <c r="E48" s="11"/>
      <c r="F48" s="13"/>
      <c r="G48" s="13"/>
      <c r="H48" s="14"/>
      <c r="I48" s="14"/>
      <c r="J48" s="14"/>
      <c r="K48" s="14"/>
      <c r="L48" s="14"/>
      <c r="M48" s="14"/>
      <c r="N48" s="15"/>
      <c r="O48" s="14"/>
      <c r="P48" s="14"/>
      <c r="Q48" s="14"/>
      <c r="R48" s="14"/>
      <c r="S48" s="15"/>
      <c r="T48" s="14"/>
      <c r="U48" s="14"/>
      <c r="V48" s="14"/>
      <c r="W48" s="14"/>
      <c r="X48" s="14"/>
      <c r="Y48" s="12"/>
      <c r="Z48" s="12"/>
    </row>
    <row r="49" spans="1:26" ht="15" customHeight="1">
      <c r="A49" s="16">
        <v>12</v>
      </c>
      <c r="B49" s="17" t="s">
        <v>78</v>
      </c>
      <c r="C49" s="18" t="s">
        <v>79</v>
      </c>
      <c r="D49" s="16" t="s">
        <v>35</v>
      </c>
      <c r="E49" s="17" t="s">
        <v>30</v>
      </c>
      <c r="F49" s="19" t="s">
        <v>80</v>
      </c>
      <c r="G49" s="59" t="s">
        <v>80</v>
      </c>
      <c r="H49" s="20">
        <v>2</v>
      </c>
      <c r="I49" s="20">
        <v>2</v>
      </c>
      <c r="J49" s="20">
        <v>2</v>
      </c>
      <c r="K49" s="20">
        <v>2</v>
      </c>
      <c r="L49" s="20">
        <v>2</v>
      </c>
      <c r="M49" s="20">
        <v>2</v>
      </c>
      <c r="N49" s="21"/>
      <c r="O49" s="20"/>
      <c r="P49" s="20"/>
      <c r="Q49" s="20"/>
      <c r="R49" s="20"/>
      <c r="S49" s="21"/>
      <c r="T49" s="20"/>
      <c r="U49" s="20"/>
      <c r="V49" s="20"/>
      <c r="W49" s="20"/>
      <c r="X49" s="20"/>
      <c r="Y49" s="17">
        <f>SUM(H49:X50)</f>
        <v>12</v>
      </c>
      <c r="Z49" s="17" t="s">
        <v>81</v>
      </c>
    </row>
    <row r="50" spans="1:26" ht="15" customHeight="1">
      <c r="A50" s="5"/>
      <c r="B50" s="6"/>
      <c r="C50" s="5" t="s">
        <v>82</v>
      </c>
      <c r="D50" s="5"/>
      <c r="E50" s="5"/>
      <c r="F50" s="106"/>
      <c r="G50" s="106"/>
      <c r="H50" s="23"/>
      <c r="I50" s="23"/>
      <c r="J50" s="23"/>
      <c r="K50" s="23"/>
      <c r="L50" s="23"/>
      <c r="M50" s="23"/>
      <c r="N50" s="24"/>
      <c r="O50" s="9"/>
      <c r="P50" s="9"/>
      <c r="Q50" s="9"/>
      <c r="R50" s="9"/>
      <c r="S50" s="24"/>
      <c r="T50" s="23"/>
      <c r="U50" s="9"/>
      <c r="V50" s="9"/>
      <c r="W50" s="9"/>
      <c r="X50" s="9"/>
      <c r="Y50" s="6"/>
      <c r="Z50" s="6"/>
    </row>
    <row r="51" spans="1:26" ht="15" customHeight="1">
      <c r="A51" s="11"/>
      <c r="B51" s="12"/>
      <c r="C51" s="11"/>
      <c r="D51" s="11"/>
      <c r="E51" s="11"/>
      <c r="F51" s="13"/>
      <c r="G51" s="13"/>
      <c r="H51" s="14"/>
      <c r="I51" s="14"/>
      <c r="J51" s="14"/>
      <c r="K51" s="14"/>
      <c r="L51" s="14"/>
      <c r="M51" s="14"/>
      <c r="N51" s="15"/>
      <c r="O51" s="14"/>
      <c r="P51" s="14"/>
      <c r="Q51" s="14"/>
      <c r="R51" s="14"/>
      <c r="S51" s="15"/>
      <c r="T51" s="14"/>
      <c r="U51" s="14"/>
      <c r="V51" s="14"/>
      <c r="W51" s="14"/>
      <c r="X51" s="14"/>
      <c r="Y51" s="12"/>
      <c r="Z51" s="12"/>
    </row>
    <row r="52" spans="1:26" ht="15" customHeight="1">
      <c r="A52" s="16">
        <v>13</v>
      </c>
      <c r="B52" s="17" t="s">
        <v>83</v>
      </c>
      <c r="C52" s="18" t="s">
        <v>84</v>
      </c>
      <c r="D52" s="16" t="s">
        <v>35</v>
      </c>
      <c r="E52" s="17" t="s">
        <v>30</v>
      </c>
      <c r="F52" s="19" t="s">
        <v>41</v>
      </c>
      <c r="G52" s="19" t="s">
        <v>41</v>
      </c>
      <c r="H52" s="20"/>
      <c r="I52" s="20"/>
      <c r="J52" s="20"/>
      <c r="K52" s="20"/>
      <c r="L52" s="20"/>
      <c r="M52" s="20"/>
      <c r="N52" s="21">
        <v>4</v>
      </c>
      <c r="O52" s="20">
        <v>4</v>
      </c>
      <c r="P52" s="20">
        <v>4</v>
      </c>
      <c r="Q52" s="20">
        <v>4</v>
      </c>
      <c r="R52" s="20">
        <v>4</v>
      </c>
      <c r="S52" s="21"/>
      <c r="T52" s="20"/>
      <c r="U52" s="20"/>
      <c r="V52" s="20"/>
      <c r="W52" s="20"/>
      <c r="X52" s="20"/>
      <c r="Y52" s="17">
        <f>SUM(H52:X53)</f>
        <v>20</v>
      </c>
      <c r="Z52" s="17" t="s">
        <v>37</v>
      </c>
    </row>
    <row r="53" spans="1:26" ht="15" customHeight="1">
      <c r="A53" s="5"/>
      <c r="B53" s="6"/>
      <c r="C53" s="5" t="s">
        <v>85</v>
      </c>
      <c r="D53" s="5"/>
      <c r="E53" s="5"/>
      <c r="F53" s="85" t="s">
        <v>226</v>
      </c>
      <c r="G53" s="8"/>
      <c r="H53" s="9"/>
      <c r="I53" s="9"/>
      <c r="J53" s="9"/>
      <c r="K53" s="9"/>
      <c r="L53" s="9"/>
      <c r="M53" s="9"/>
      <c r="N53" s="10"/>
      <c r="O53" s="9"/>
      <c r="P53" s="9"/>
      <c r="Q53" s="9"/>
      <c r="R53" s="9"/>
      <c r="S53" s="10"/>
      <c r="T53" s="9"/>
      <c r="U53" s="23"/>
      <c r="V53" s="197" t="s">
        <v>435</v>
      </c>
      <c r="W53" s="197" t="s">
        <v>435</v>
      </c>
      <c r="X53" s="26"/>
      <c r="Y53" s="120" t="s">
        <v>436</v>
      </c>
      <c r="Z53" s="6" t="s">
        <v>130</v>
      </c>
    </row>
    <row r="54" spans="1:26" ht="15" customHeight="1">
      <c r="A54" s="11"/>
      <c r="B54" s="12"/>
      <c r="C54" s="11"/>
      <c r="D54" s="11"/>
      <c r="E54" s="11"/>
      <c r="F54" s="13"/>
      <c r="G54" s="13"/>
      <c r="H54" s="14"/>
      <c r="I54" s="14"/>
      <c r="J54" s="14"/>
      <c r="K54" s="14"/>
      <c r="L54" s="14"/>
      <c r="M54" s="14"/>
      <c r="N54" s="15"/>
      <c r="O54" s="14"/>
      <c r="P54" s="14"/>
      <c r="Q54" s="14"/>
      <c r="R54" s="14"/>
      <c r="S54" s="15"/>
      <c r="T54" s="14"/>
      <c r="U54" s="14"/>
      <c r="V54" s="14"/>
      <c r="W54" s="14"/>
      <c r="X54" s="14"/>
      <c r="Y54" s="12"/>
      <c r="Z54" s="12"/>
    </row>
    <row r="55" spans="1:26" ht="15" customHeight="1">
      <c r="A55" s="16">
        <v>14</v>
      </c>
      <c r="B55" s="17" t="s">
        <v>86</v>
      </c>
      <c r="C55" s="18" t="s">
        <v>87</v>
      </c>
      <c r="D55" s="16" t="s">
        <v>35</v>
      </c>
      <c r="E55" s="17" t="s">
        <v>30</v>
      </c>
      <c r="F55" s="19" t="s">
        <v>88</v>
      </c>
      <c r="G55" s="19" t="s">
        <v>88</v>
      </c>
      <c r="H55" s="20"/>
      <c r="I55" s="20"/>
      <c r="J55" s="20"/>
      <c r="K55" s="20"/>
      <c r="L55" s="20"/>
      <c r="M55" s="20"/>
      <c r="N55" s="21">
        <v>2</v>
      </c>
      <c r="O55" s="20">
        <v>2</v>
      </c>
      <c r="P55" s="20">
        <v>2</v>
      </c>
      <c r="Q55" s="20">
        <v>2</v>
      </c>
      <c r="R55" s="20">
        <v>2</v>
      </c>
      <c r="S55" s="21"/>
      <c r="T55" s="20"/>
      <c r="U55" s="20"/>
      <c r="V55" s="20"/>
      <c r="W55" s="20"/>
      <c r="X55" s="20"/>
      <c r="Y55" s="17">
        <f>SUM(H55:X57)</f>
        <v>10</v>
      </c>
      <c r="Z55" s="17" t="s">
        <v>37</v>
      </c>
    </row>
    <row r="56" spans="1:26" ht="15" customHeight="1">
      <c r="A56" s="5"/>
      <c r="B56" s="6"/>
      <c r="C56" s="5" t="s">
        <v>82</v>
      </c>
      <c r="D56" s="5"/>
      <c r="E56" s="5"/>
      <c r="F56" s="85" t="s">
        <v>226</v>
      </c>
      <c r="G56" s="8"/>
      <c r="H56" s="9"/>
      <c r="I56" s="9"/>
      <c r="J56" s="9"/>
      <c r="K56" s="9"/>
      <c r="L56" s="9"/>
      <c r="M56" s="9"/>
      <c r="N56" s="10"/>
      <c r="O56" s="9"/>
      <c r="P56" s="118" t="s">
        <v>435</v>
      </c>
      <c r="Q56" s="118" t="s">
        <v>435</v>
      </c>
      <c r="R56" s="118" t="s">
        <v>435</v>
      </c>
      <c r="S56" s="10"/>
      <c r="T56" s="9"/>
      <c r="U56" s="9"/>
      <c r="V56" s="9"/>
      <c r="W56" s="9"/>
      <c r="X56" s="9"/>
      <c r="Y56" s="120" t="s">
        <v>437</v>
      </c>
      <c r="Z56" s="6" t="s">
        <v>43</v>
      </c>
    </row>
    <row r="57" spans="1:26" ht="15" customHeight="1">
      <c r="A57" s="11"/>
      <c r="B57" s="12"/>
      <c r="C57" s="11"/>
      <c r="D57" s="11"/>
      <c r="E57" s="11"/>
      <c r="F57" s="108"/>
      <c r="G57" s="13"/>
      <c r="H57" s="14"/>
      <c r="I57" s="14"/>
      <c r="J57" s="14"/>
      <c r="K57" s="14"/>
      <c r="L57" s="14"/>
      <c r="M57" s="14"/>
      <c r="N57" s="15"/>
      <c r="O57" s="32"/>
      <c r="P57" s="32"/>
      <c r="Q57" s="32"/>
      <c r="R57" s="33"/>
      <c r="S57" s="15"/>
      <c r="T57" s="14"/>
      <c r="U57" s="14"/>
      <c r="V57" s="14"/>
      <c r="W57" s="14"/>
      <c r="X57" s="14"/>
      <c r="Y57" s="34"/>
      <c r="Z57" s="12"/>
    </row>
    <row r="58" spans="1:26" ht="15" customHeight="1">
      <c r="A58" s="16">
        <v>15</v>
      </c>
      <c r="B58" s="17" t="s">
        <v>90</v>
      </c>
      <c r="C58" s="18" t="s">
        <v>91</v>
      </c>
      <c r="D58" s="16" t="s">
        <v>35</v>
      </c>
      <c r="E58" s="17" t="s">
        <v>30</v>
      </c>
      <c r="F58" s="19" t="s">
        <v>62</v>
      </c>
      <c r="G58" s="19" t="s">
        <v>62</v>
      </c>
      <c r="H58" s="20">
        <v>4</v>
      </c>
      <c r="I58" s="20">
        <v>4</v>
      </c>
      <c r="J58" s="20">
        <v>4</v>
      </c>
      <c r="K58" s="20">
        <v>4</v>
      </c>
      <c r="L58" s="20">
        <v>4</v>
      </c>
      <c r="M58" s="20"/>
      <c r="N58" s="21"/>
      <c r="O58" s="20"/>
      <c r="P58" s="20"/>
      <c r="Q58" s="20"/>
      <c r="R58" s="20"/>
      <c r="S58" s="21"/>
      <c r="T58" s="20"/>
      <c r="U58" s="20"/>
      <c r="V58" s="20"/>
      <c r="W58" s="20"/>
      <c r="X58" s="20"/>
      <c r="Y58" s="17">
        <f>SUM(H58:X58)</f>
        <v>20</v>
      </c>
      <c r="Z58" s="17"/>
    </row>
    <row r="59" spans="1:26" ht="15" customHeight="1">
      <c r="A59" s="5"/>
      <c r="B59" s="6"/>
      <c r="C59" s="5" t="s">
        <v>92</v>
      </c>
      <c r="D59" s="5"/>
      <c r="E59" s="5"/>
      <c r="F59" s="8"/>
      <c r="G59" s="8"/>
      <c r="H59" s="9"/>
      <c r="I59" s="9"/>
      <c r="J59" s="9"/>
      <c r="K59" s="9"/>
      <c r="L59" s="9"/>
      <c r="M59" s="9"/>
      <c r="N59" s="10"/>
      <c r="O59" s="9"/>
      <c r="P59" s="9"/>
      <c r="Q59" s="9"/>
      <c r="R59" s="9"/>
      <c r="S59" s="10"/>
      <c r="T59" s="9"/>
      <c r="U59" s="9"/>
      <c r="V59" s="9"/>
      <c r="W59" s="9"/>
      <c r="X59" s="9"/>
      <c r="Y59" s="6"/>
      <c r="Z59" s="6"/>
    </row>
    <row r="60" spans="1:26" ht="15" customHeight="1">
      <c r="A60" s="11"/>
      <c r="B60" s="12"/>
      <c r="C60" s="11"/>
      <c r="D60" s="11"/>
      <c r="E60" s="11"/>
      <c r="F60" s="13"/>
      <c r="G60" s="13"/>
      <c r="H60" s="14"/>
      <c r="I60" s="14"/>
      <c r="J60" s="14"/>
      <c r="K60" s="14"/>
      <c r="L60" s="14"/>
      <c r="M60" s="14"/>
      <c r="N60" s="15"/>
      <c r="O60" s="14"/>
      <c r="P60" s="14"/>
      <c r="Q60" s="14"/>
      <c r="R60" s="14"/>
      <c r="S60" s="15"/>
      <c r="T60" s="14"/>
      <c r="U60" s="14"/>
      <c r="V60" s="14"/>
      <c r="W60" s="14"/>
      <c r="X60" s="14"/>
      <c r="Y60" s="12"/>
      <c r="Z60" s="11"/>
    </row>
    <row r="61" spans="1:26" ht="15" customHeight="1">
      <c r="A61" s="16">
        <v>16</v>
      </c>
      <c r="B61" s="17" t="s">
        <v>94</v>
      </c>
      <c r="C61" s="18" t="s">
        <v>95</v>
      </c>
      <c r="D61" s="16" t="s">
        <v>35</v>
      </c>
      <c r="E61" s="17" t="s">
        <v>30</v>
      </c>
      <c r="F61" s="19" t="s">
        <v>62</v>
      </c>
      <c r="G61" s="19" t="s">
        <v>62</v>
      </c>
      <c r="H61" s="20"/>
      <c r="I61" s="20"/>
      <c r="J61" s="20"/>
      <c r="K61" s="20"/>
      <c r="L61" s="20"/>
      <c r="M61" s="20">
        <v>4</v>
      </c>
      <c r="N61" s="21">
        <v>4</v>
      </c>
      <c r="O61" s="20"/>
      <c r="P61" s="20"/>
      <c r="Q61" s="20"/>
      <c r="R61" s="20"/>
      <c r="S61" s="21"/>
      <c r="T61" s="20"/>
      <c r="U61" s="20">
        <v>4</v>
      </c>
      <c r="V61" s="20">
        <v>4</v>
      </c>
      <c r="W61" s="20">
        <v>4</v>
      </c>
      <c r="X61" s="20">
        <v>4</v>
      </c>
      <c r="Y61" s="17">
        <f>SUM(H61:X61)</f>
        <v>24</v>
      </c>
      <c r="Z61" s="17" t="s">
        <v>96</v>
      </c>
    </row>
    <row r="62" spans="1:26" ht="15" customHeight="1">
      <c r="A62" s="5"/>
      <c r="B62" s="6"/>
      <c r="C62" s="5" t="s">
        <v>97</v>
      </c>
      <c r="D62" s="5"/>
      <c r="E62" s="5"/>
      <c r="F62" s="8"/>
      <c r="G62" s="8"/>
      <c r="H62" s="9"/>
      <c r="I62" s="9"/>
      <c r="J62" s="9"/>
      <c r="K62" s="9"/>
      <c r="L62" s="9"/>
      <c r="M62" s="9"/>
      <c r="N62" s="10"/>
      <c r="O62" s="9"/>
      <c r="P62" s="9"/>
      <c r="Q62" s="9"/>
      <c r="R62" s="9"/>
      <c r="S62" s="10"/>
      <c r="T62" s="9"/>
      <c r="U62" s="9"/>
      <c r="V62" s="9"/>
      <c r="W62" s="9"/>
      <c r="X62" s="9"/>
      <c r="Y62" s="6"/>
      <c r="Z62" s="6" t="s">
        <v>98</v>
      </c>
    </row>
    <row r="63" spans="1:26" ht="15" customHeight="1">
      <c r="A63" s="11"/>
      <c r="B63" s="12"/>
      <c r="C63" s="11"/>
      <c r="D63" s="11"/>
      <c r="E63" s="11"/>
      <c r="F63" s="13"/>
      <c r="G63" s="13"/>
      <c r="H63" s="14"/>
      <c r="I63" s="14"/>
      <c r="J63" s="14"/>
      <c r="K63" s="14"/>
      <c r="L63" s="14"/>
      <c r="M63" s="14"/>
      <c r="N63" s="15"/>
      <c r="O63" s="14"/>
      <c r="P63" s="14"/>
      <c r="Q63" s="14"/>
      <c r="R63" s="14"/>
      <c r="S63" s="15"/>
      <c r="T63" s="14"/>
      <c r="U63" s="14"/>
      <c r="V63" s="14"/>
      <c r="W63" s="14"/>
      <c r="X63" s="14"/>
      <c r="Y63" s="12"/>
      <c r="Z63" s="11"/>
    </row>
    <row r="64" spans="1:26" ht="15" customHeight="1">
      <c r="A64" s="16">
        <v>17</v>
      </c>
      <c r="B64" s="17" t="s">
        <v>99</v>
      </c>
      <c r="C64" s="18" t="s">
        <v>100</v>
      </c>
      <c r="D64" s="16" t="s">
        <v>35</v>
      </c>
      <c r="E64" s="17" t="s">
        <v>30</v>
      </c>
      <c r="F64" s="19" t="s">
        <v>88</v>
      </c>
      <c r="G64" s="59" t="s">
        <v>88</v>
      </c>
      <c r="H64" s="20">
        <v>2</v>
      </c>
      <c r="I64" s="20">
        <v>2</v>
      </c>
      <c r="J64" s="20">
        <v>2</v>
      </c>
      <c r="K64" s="20">
        <v>2</v>
      </c>
      <c r="L64" s="20">
        <v>2</v>
      </c>
      <c r="M64" s="203">
        <v>2</v>
      </c>
      <c r="N64" s="21"/>
      <c r="O64" s="20"/>
      <c r="P64" s="20"/>
      <c r="Q64" s="20"/>
      <c r="R64" s="20"/>
      <c r="S64" s="21">
        <v>2</v>
      </c>
      <c r="T64" s="20">
        <v>2</v>
      </c>
      <c r="U64" s="20">
        <v>2</v>
      </c>
      <c r="V64" s="20">
        <v>2</v>
      </c>
      <c r="W64" s="20">
        <v>2</v>
      </c>
      <c r="X64" s="20">
        <v>2</v>
      </c>
      <c r="Y64" s="17">
        <f>SUM(H64:X65)</f>
        <v>24</v>
      </c>
      <c r="Z64" s="16" t="s">
        <v>101</v>
      </c>
    </row>
    <row r="65" spans="1:26" ht="15" customHeight="1">
      <c r="A65" s="5"/>
      <c r="B65" s="6"/>
      <c r="C65" s="5" t="s">
        <v>102</v>
      </c>
      <c r="D65" s="5"/>
      <c r="E65" s="5"/>
      <c r="F65" s="8"/>
      <c r="G65" s="8"/>
      <c r="H65" s="9"/>
      <c r="I65" s="9"/>
      <c r="J65" s="9"/>
      <c r="K65" s="9"/>
      <c r="L65" s="9"/>
      <c r="M65" s="9"/>
      <c r="N65" s="10"/>
      <c r="O65" s="9"/>
      <c r="P65" s="9"/>
      <c r="Q65" s="9"/>
      <c r="R65" s="9"/>
      <c r="S65" s="10"/>
      <c r="T65" s="9"/>
      <c r="U65" s="9"/>
      <c r="V65" s="9"/>
      <c r="W65" s="9"/>
      <c r="X65" s="9"/>
      <c r="Y65" s="6"/>
      <c r="Z65" s="5"/>
    </row>
    <row r="66" spans="1:26" ht="15" customHeight="1">
      <c r="A66" s="11"/>
      <c r="B66" s="12"/>
      <c r="C66" s="11"/>
      <c r="D66" s="11"/>
      <c r="E66" s="11"/>
      <c r="F66" s="13"/>
      <c r="G66" s="13"/>
      <c r="H66" s="14"/>
      <c r="I66" s="14"/>
      <c r="J66" s="14"/>
      <c r="K66" s="14"/>
      <c r="L66" s="14"/>
      <c r="M66" s="14"/>
      <c r="N66" s="15"/>
      <c r="O66" s="14"/>
      <c r="P66" s="14"/>
      <c r="Q66" s="14"/>
      <c r="R66" s="14"/>
      <c r="S66" s="15"/>
      <c r="T66" s="14"/>
      <c r="U66" s="14"/>
      <c r="V66" s="14"/>
      <c r="W66" s="14"/>
      <c r="X66" s="14"/>
      <c r="Y66" s="12"/>
      <c r="Z66" s="11"/>
    </row>
    <row r="67" spans="1:26" ht="15" customHeight="1">
      <c r="A67" s="16">
        <v>18</v>
      </c>
      <c r="B67" s="17" t="s">
        <v>103</v>
      </c>
      <c r="C67" s="18" t="s">
        <v>104</v>
      </c>
      <c r="D67" s="16" t="s">
        <v>35</v>
      </c>
      <c r="E67" s="17" t="s">
        <v>30</v>
      </c>
      <c r="F67" s="19" t="s">
        <v>75</v>
      </c>
      <c r="G67" s="19" t="s">
        <v>75</v>
      </c>
      <c r="H67" s="20"/>
      <c r="I67" s="20"/>
      <c r="J67" s="20"/>
      <c r="K67" s="20"/>
      <c r="L67" s="20"/>
      <c r="M67" s="20"/>
      <c r="N67" s="21">
        <v>1</v>
      </c>
      <c r="O67" s="20">
        <v>1</v>
      </c>
      <c r="P67" s="20">
        <v>1</v>
      </c>
      <c r="Q67" s="20">
        <v>1</v>
      </c>
      <c r="R67" s="20">
        <v>1</v>
      </c>
      <c r="S67" s="21"/>
      <c r="T67" s="20"/>
      <c r="U67" s="20"/>
      <c r="V67" s="20"/>
      <c r="W67" s="20"/>
      <c r="X67" s="20"/>
      <c r="Y67" s="17">
        <f>SUM(H67:X68)</f>
        <v>15</v>
      </c>
      <c r="Z67" s="17"/>
    </row>
    <row r="68" spans="1:26" ht="15" customHeight="1">
      <c r="A68" s="5"/>
      <c r="B68" s="6"/>
      <c r="C68" s="5" t="s">
        <v>105</v>
      </c>
      <c r="D68" s="5"/>
      <c r="E68" s="5"/>
      <c r="F68" s="8" t="s">
        <v>106</v>
      </c>
      <c r="G68" s="8"/>
      <c r="H68" s="9"/>
      <c r="I68" s="9"/>
      <c r="J68" s="9"/>
      <c r="K68" s="9"/>
      <c r="L68" s="9"/>
      <c r="M68" s="9"/>
      <c r="N68" s="10">
        <v>2</v>
      </c>
      <c r="O68" s="9">
        <v>2</v>
      </c>
      <c r="P68" s="9">
        <v>2</v>
      </c>
      <c r="Q68" s="9">
        <v>2</v>
      </c>
      <c r="R68" s="9">
        <v>2</v>
      </c>
      <c r="S68" s="10"/>
      <c r="T68" s="9"/>
      <c r="U68" s="9"/>
      <c r="V68" s="9"/>
      <c r="W68" s="9"/>
      <c r="X68" s="9"/>
      <c r="Y68" s="6"/>
      <c r="Z68" s="6"/>
    </row>
    <row r="69" spans="1:26" ht="15" customHeight="1">
      <c r="A69" s="11"/>
      <c r="B69" s="12"/>
      <c r="C69" s="11"/>
      <c r="D69" s="11"/>
      <c r="E69" s="11"/>
      <c r="F69" s="13"/>
      <c r="G69" s="13"/>
      <c r="H69" s="14"/>
      <c r="I69" s="14"/>
      <c r="J69" s="14"/>
      <c r="K69" s="14"/>
      <c r="L69" s="14"/>
      <c r="M69" s="14"/>
      <c r="N69" s="15"/>
      <c r="O69" s="14"/>
      <c r="P69" s="14"/>
      <c r="Q69" s="14"/>
      <c r="R69" s="14"/>
      <c r="S69" s="15"/>
      <c r="T69" s="14"/>
      <c r="U69" s="14"/>
      <c r="V69" s="14"/>
      <c r="W69" s="14"/>
      <c r="X69" s="14"/>
      <c r="Y69" s="12"/>
      <c r="Z69" s="11"/>
    </row>
    <row r="70" spans="1:26" ht="15" customHeight="1">
      <c r="A70" s="16">
        <v>19</v>
      </c>
      <c r="B70" s="6" t="s">
        <v>108</v>
      </c>
      <c r="C70" s="7" t="s">
        <v>109</v>
      </c>
      <c r="D70" s="16" t="s">
        <v>35</v>
      </c>
      <c r="E70" s="6" t="s">
        <v>30</v>
      </c>
      <c r="F70" s="8" t="s">
        <v>110</v>
      </c>
      <c r="G70" s="8" t="s">
        <v>53</v>
      </c>
      <c r="H70" s="9"/>
      <c r="I70" s="9"/>
      <c r="J70" s="9"/>
      <c r="K70" s="9"/>
      <c r="L70" s="9">
        <v>4</v>
      </c>
      <c r="M70" s="9">
        <v>4</v>
      </c>
      <c r="N70" s="10"/>
      <c r="O70" s="9"/>
      <c r="P70" s="9"/>
      <c r="Q70" s="9"/>
      <c r="R70" s="22"/>
      <c r="S70" s="61"/>
      <c r="T70" s="9"/>
      <c r="U70" s="9">
        <v>4</v>
      </c>
      <c r="V70" s="9">
        <v>4</v>
      </c>
      <c r="W70" s="9">
        <v>4</v>
      </c>
      <c r="X70" s="9">
        <v>4</v>
      </c>
      <c r="Y70" s="6">
        <f>SUM(H70:X70)</f>
        <v>24</v>
      </c>
      <c r="Z70" s="6" t="s">
        <v>431</v>
      </c>
    </row>
    <row r="71" spans="1:26" ht="15" customHeight="1">
      <c r="A71" s="5"/>
      <c r="B71" s="6"/>
      <c r="C71" s="5" t="s">
        <v>112</v>
      </c>
      <c r="D71" s="5"/>
      <c r="E71" s="5"/>
      <c r="F71" s="8"/>
      <c r="G71" s="8"/>
      <c r="H71" s="9"/>
      <c r="I71" s="9"/>
      <c r="J71" s="9"/>
      <c r="K71" s="9"/>
      <c r="L71" s="9"/>
      <c r="M71" s="9"/>
      <c r="N71" s="10"/>
      <c r="O71" s="9"/>
      <c r="P71" s="9"/>
      <c r="Q71" s="9"/>
      <c r="R71" s="64"/>
      <c r="S71" s="61"/>
      <c r="T71" s="9"/>
      <c r="U71" s="9"/>
      <c r="V71" s="9"/>
      <c r="W71" s="9"/>
      <c r="X71" s="9"/>
      <c r="Y71" s="6"/>
      <c r="Z71" s="6" t="s">
        <v>125</v>
      </c>
    </row>
    <row r="72" spans="1:26" ht="15" customHeight="1">
      <c r="A72" s="11"/>
      <c r="B72" s="12"/>
      <c r="C72" s="11"/>
      <c r="D72" s="11"/>
      <c r="E72" s="11"/>
      <c r="F72" s="13"/>
      <c r="G72" s="13"/>
      <c r="H72" s="14"/>
      <c r="I72" s="14"/>
      <c r="J72" s="14"/>
      <c r="K72" s="14"/>
      <c r="L72" s="14"/>
      <c r="M72" s="14"/>
      <c r="N72" s="15"/>
      <c r="O72" s="14"/>
      <c r="P72" s="14"/>
      <c r="Q72" s="14"/>
      <c r="R72" s="65"/>
      <c r="S72" s="62"/>
      <c r="T72" s="14"/>
      <c r="U72" s="14"/>
      <c r="V72" s="14"/>
      <c r="W72" s="14"/>
      <c r="X72" s="14"/>
      <c r="Y72" s="12"/>
      <c r="Z72" s="12"/>
    </row>
    <row r="73" spans="1:26" ht="15" customHeight="1">
      <c r="A73" s="35"/>
      <c r="B73" s="36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ht="15" customHeight="1">
      <c r="A74" s="35"/>
      <c r="B74" s="36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ht="15" customHeight="1">
      <c r="A75" s="35"/>
      <c r="B75" s="36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ht="15" customHeight="1">
      <c r="A76" s="348" t="s">
        <v>4</v>
      </c>
      <c r="B76" s="4"/>
      <c r="C76" s="348" t="s">
        <v>6</v>
      </c>
      <c r="D76" s="4" t="s">
        <v>7</v>
      </c>
      <c r="E76" s="4" t="s">
        <v>8</v>
      </c>
      <c r="F76" s="4" t="s">
        <v>9</v>
      </c>
      <c r="G76" s="4" t="s">
        <v>9</v>
      </c>
      <c r="H76" s="348" t="s">
        <v>10</v>
      </c>
      <c r="I76" s="348"/>
      <c r="J76" s="348"/>
      <c r="K76" s="348"/>
      <c r="L76" s="348"/>
      <c r="M76" s="348"/>
      <c r="N76" s="348"/>
      <c r="O76" s="348"/>
      <c r="P76" s="348"/>
      <c r="Q76" s="348"/>
      <c r="R76" s="348"/>
      <c r="S76" s="348"/>
      <c r="T76" s="348"/>
      <c r="U76" s="348"/>
      <c r="V76" s="348"/>
      <c r="W76" s="348"/>
      <c r="X76" s="348"/>
      <c r="Y76" s="348"/>
      <c r="Z76" s="348" t="s">
        <v>69</v>
      </c>
    </row>
    <row r="77" spans="1:26" ht="15" customHeight="1">
      <c r="A77" s="348"/>
      <c r="B77" s="195" t="s">
        <v>5</v>
      </c>
      <c r="C77" s="348"/>
      <c r="D77" s="349" t="s">
        <v>12</v>
      </c>
      <c r="E77" s="349" t="s">
        <v>13</v>
      </c>
      <c r="F77" s="195" t="s">
        <v>14</v>
      </c>
      <c r="G77" s="195" t="s">
        <v>15</v>
      </c>
      <c r="H77" s="351" t="s">
        <v>16</v>
      </c>
      <c r="I77" s="352"/>
      <c r="J77" s="352"/>
      <c r="K77" s="352"/>
      <c r="L77" s="352"/>
      <c r="M77" s="352"/>
      <c r="N77" s="353" t="s">
        <v>17</v>
      </c>
      <c r="O77" s="352"/>
      <c r="P77" s="352"/>
      <c r="Q77" s="352"/>
      <c r="R77" s="352"/>
      <c r="S77" s="353" t="s">
        <v>18</v>
      </c>
      <c r="T77" s="352"/>
      <c r="U77" s="352"/>
      <c r="V77" s="352"/>
      <c r="W77" s="352"/>
      <c r="X77" s="352"/>
      <c r="Y77" s="348" t="s">
        <v>19</v>
      </c>
      <c r="Z77" s="348"/>
    </row>
    <row r="78" spans="1:26" ht="15" customHeight="1">
      <c r="A78" s="348"/>
      <c r="B78" s="196"/>
      <c r="C78" s="348"/>
      <c r="D78" s="350"/>
      <c r="E78" s="350"/>
      <c r="F78" s="196" t="s">
        <v>20</v>
      </c>
      <c r="G78" s="196" t="s">
        <v>21</v>
      </c>
      <c r="H78" s="194" t="s">
        <v>22</v>
      </c>
      <c r="I78" s="194" t="s">
        <v>23</v>
      </c>
      <c r="J78" s="194" t="s">
        <v>24</v>
      </c>
      <c r="K78" s="194" t="s">
        <v>25</v>
      </c>
      <c r="L78" s="194" t="s">
        <v>26</v>
      </c>
      <c r="M78" s="194" t="s">
        <v>27</v>
      </c>
      <c r="N78" s="184" t="s">
        <v>22</v>
      </c>
      <c r="O78" s="194" t="s">
        <v>23</v>
      </c>
      <c r="P78" s="194" t="s">
        <v>24</v>
      </c>
      <c r="Q78" s="194" t="s">
        <v>25</v>
      </c>
      <c r="R78" s="194" t="s">
        <v>26</v>
      </c>
      <c r="S78" s="184" t="s">
        <v>22</v>
      </c>
      <c r="T78" s="194" t="s">
        <v>23</v>
      </c>
      <c r="U78" s="194" t="s">
        <v>24</v>
      </c>
      <c r="V78" s="194" t="s">
        <v>25</v>
      </c>
      <c r="W78" s="194" t="s">
        <v>26</v>
      </c>
      <c r="X78" s="194" t="s">
        <v>27</v>
      </c>
      <c r="Y78" s="348"/>
      <c r="Z78" s="348"/>
    </row>
    <row r="79" spans="1:26" ht="15" customHeight="1">
      <c r="A79" s="16">
        <v>20</v>
      </c>
      <c r="B79" s="17" t="s">
        <v>113</v>
      </c>
      <c r="C79" s="18" t="s">
        <v>114</v>
      </c>
      <c r="D79" s="16" t="s">
        <v>35</v>
      </c>
      <c r="E79" s="17" t="s">
        <v>30</v>
      </c>
      <c r="F79" s="19" t="s">
        <v>80</v>
      </c>
      <c r="G79" s="19" t="s">
        <v>80</v>
      </c>
      <c r="H79" s="20"/>
      <c r="I79" s="20"/>
      <c r="J79" s="20"/>
      <c r="K79" s="20"/>
      <c r="L79" s="20"/>
      <c r="M79" s="20"/>
      <c r="N79" s="21">
        <v>2</v>
      </c>
      <c r="O79" s="20">
        <v>2</v>
      </c>
      <c r="P79" s="20">
        <v>2</v>
      </c>
      <c r="Q79" s="203">
        <v>2</v>
      </c>
      <c r="R79" s="22">
        <v>2</v>
      </c>
      <c r="S79" s="60">
        <v>2</v>
      </c>
      <c r="T79" s="20">
        <v>2</v>
      </c>
      <c r="U79" s="20">
        <v>2</v>
      </c>
      <c r="V79" s="20">
        <v>2</v>
      </c>
      <c r="W79" s="20">
        <v>2</v>
      </c>
      <c r="X79" s="20">
        <v>2</v>
      </c>
      <c r="Y79" s="17">
        <f>SUM(H79:X79)</f>
        <v>22</v>
      </c>
      <c r="Z79" s="16" t="s">
        <v>101</v>
      </c>
    </row>
    <row r="80" spans="1:26" ht="15" customHeight="1">
      <c r="A80" s="5"/>
      <c r="B80" s="6"/>
      <c r="C80" s="5" t="s">
        <v>115</v>
      </c>
      <c r="D80" s="5"/>
      <c r="E80" s="5"/>
      <c r="F80" s="85" t="s">
        <v>226</v>
      </c>
      <c r="G80" s="8"/>
      <c r="H80" s="9"/>
      <c r="I80" s="9"/>
      <c r="J80" s="9"/>
      <c r="K80" s="9"/>
      <c r="L80" s="26"/>
      <c r="M80" s="26"/>
      <c r="N80" s="10"/>
      <c r="O80" s="9"/>
      <c r="P80" s="9"/>
      <c r="Q80" s="204"/>
      <c r="R80" s="64"/>
      <c r="S80" s="61"/>
      <c r="T80" s="9"/>
      <c r="U80" s="9"/>
      <c r="V80" s="9"/>
      <c r="W80" s="26"/>
      <c r="X80" s="197" t="s">
        <v>435</v>
      </c>
      <c r="Y80" s="120" t="s">
        <v>436</v>
      </c>
      <c r="Z80" s="5"/>
    </row>
    <row r="81" spans="1:26" ht="15" customHeight="1">
      <c r="A81" s="11"/>
      <c r="B81" s="12"/>
      <c r="C81" s="11"/>
      <c r="D81" s="11"/>
      <c r="E81" s="11"/>
      <c r="F81" s="13"/>
      <c r="G81" s="13"/>
      <c r="H81" s="14"/>
      <c r="I81" s="14"/>
      <c r="J81" s="14"/>
      <c r="K81" s="14"/>
      <c r="L81" s="14"/>
      <c r="M81" s="14"/>
      <c r="N81" s="15"/>
      <c r="O81" s="14"/>
      <c r="P81" s="14"/>
      <c r="Q81" s="205"/>
      <c r="R81" s="65"/>
      <c r="S81" s="62"/>
      <c r="T81" s="14"/>
      <c r="U81" s="14"/>
      <c r="V81" s="14"/>
      <c r="W81" s="14"/>
      <c r="X81" s="14"/>
      <c r="Y81" s="12"/>
      <c r="Z81" s="11"/>
    </row>
    <row r="82" spans="1:26" ht="15" customHeight="1">
      <c r="A82" s="16">
        <v>21</v>
      </c>
      <c r="B82" s="17" t="s">
        <v>116</v>
      </c>
      <c r="C82" s="18" t="s">
        <v>117</v>
      </c>
      <c r="D82" s="16" t="s">
        <v>35</v>
      </c>
      <c r="E82" s="17" t="s">
        <v>30</v>
      </c>
      <c r="F82" s="19" t="s">
        <v>36</v>
      </c>
      <c r="G82" s="19" t="s">
        <v>36</v>
      </c>
      <c r="H82" s="20"/>
      <c r="I82" s="20"/>
      <c r="J82" s="20"/>
      <c r="K82" s="20"/>
      <c r="L82" s="20"/>
      <c r="M82" s="20"/>
      <c r="N82" s="21"/>
      <c r="O82" s="20">
        <v>5</v>
      </c>
      <c r="P82" s="20">
        <v>5</v>
      </c>
      <c r="Q82" s="203"/>
      <c r="R82" s="22">
        <v>5</v>
      </c>
      <c r="S82" s="60">
        <v>5</v>
      </c>
      <c r="T82" s="20">
        <v>5</v>
      </c>
      <c r="U82" s="20"/>
      <c r="V82" s="20"/>
      <c r="W82" s="20"/>
      <c r="X82" s="20"/>
      <c r="Y82" s="17">
        <f>SUM(H82:X82)+SUM(H83:X84)</f>
        <v>25</v>
      </c>
      <c r="Z82" s="17" t="s">
        <v>37</v>
      </c>
    </row>
    <row r="83" spans="1:26" ht="15" customHeight="1">
      <c r="A83" s="5"/>
      <c r="B83" s="6"/>
      <c r="C83" s="5" t="s">
        <v>118</v>
      </c>
      <c r="D83" s="5"/>
      <c r="E83" s="5"/>
      <c r="F83" s="8"/>
      <c r="G83" s="8"/>
      <c r="H83" s="9"/>
      <c r="I83" s="9"/>
      <c r="J83" s="9"/>
      <c r="K83" s="9"/>
      <c r="L83" s="9"/>
      <c r="M83" s="9"/>
      <c r="N83" s="10"/>
      <c r="O83" s="9"/>
      <c r="P83" s="9"/>
      <c r="Q83" s="204"/>
      <c r="R83" s="64"/>
      <c r="S83" s="61"/>
      <c r="T83" s="9"/>
      <c r="U83" s="9"/>
      <c r="V83" s="9"/>
      <c r="W83" s="9"/>
      <c r="X83" s="9"/>
      <c r="Y83" s="6"/>
      <c r="Z83" s="6" t="s">
        <v>39</v>
      </c>
    </row>
    <row r="84" spans="1:26" ht="15" customHeight="1">
      <c r="A84" s="11"/>
      <c r="B84" s="12"/>
      <c r="C84" s="11"/>
      <c r="D84" s="11"/>
      <c r="E84" s="11"/>
      <c r="F84" s="13"/>
      <c r="G84" s="13"/>
      <c r="H84" s="14"/>
      <c r="I84" s="14"/>
      <c r="J84" s="14"/>
      <c r="K84" s="14"/>
      <c r="L84" s="14"/>
      <c r="M84" s="14"/>
      <c r="N84" s="15"/>
      <c r="O84" s="14"/>
      <c r="P84" s="14"/>
      <c r="Q84" s="205"/>
      <c r="R84" s="65"/>
      <c r="S84" s="62"/>
      <c r="T84" s="14"/>
      <c r="U84" s="14"/>
      <c r="V84" s="14"/>
      <c r="W84" s="14"/>
      <c r="X84" s="14"/>
      <c r="Y84" s="12"/>
      <c r="Z84" s="11"/>
    </row>
    <row r="85" spans="1:26" ht="15" customHeight="1">
      <c r="A85" s="16">
        <v>22</v>
      </c>
      <c r="B85" s="17" t="s">
        <v>119</v>
      </c>
      <c r="C85" s="18" t="s">
        <v>120</v>
      </c>
      <c r="D85" s="16" t="s">
        <v>458</v>
      </c>
      <c r="E85" s="17" t="s">
        <v>30</v>
      </c>
      <c r="F85" s="19" t="s">
        <v>122</v>
      </c>
      <c r="G85" s="19" t="s">
        <v>122</v>
      </c>
      <c r="H85" s="20">
        <v>2</v>
      </c>
      <c r="I85" s="20">
        <v>2</v>
      </c>
      <c r="J85" s="20">
        <v>2</v>
      </c>
      <c r="K85" s="20">
        <v>2</v>
      </c>
      <c r="L85" s="20">
        <v>2</v>
      </c>
      <c r="M85" s="20">
        <v>2</v>
      </c>
      <c r="N85" s="21"/>
      <c r="O85" s="20"/>
      <c r="P85" s="20"/>
      <c r="Q85" s="203"/>
      <c r="R85" s="22"/>
      <c r="S85" s="60">
        <v>2</v>
      </c>
      <c r="T85" s="20">
        <v>2</v>
      </c>
      <c r="U85" s="20">
        <v>2</v>
      </c>
      <c r="V85" s="20">
        <v>2</v>
      </c>
      <c r="W85" s="20">
        <v>2</v>
      </c>
      <c r="X85" s="20">
        <v>2</v>
      </c>
      <c r="Y85" s="17">
        <f>SUM(H85:X87)</f>
        <v>24</v>
      </c>
      <c r="Z85" s="17" t="s">
        <v>46</v>
      </c>
    </row>
    <row r="86" spans="1:26" ht="15" customHeight="1">
      <c r="A86" s="5"/>
      <c r="B86" s="6"/>
      <c r="C86" s="5" t="s">
        <v>123</v>
      </c>
      <c r="D86" s="5" t="s">
        <v>459</v>
      </c>
      <c r="E86" s="5"/>
      <c r="F86" s="8"/>
      <c r="G86" s="8"/>
      <c r="H86" s="9"/>
      <c r="I86" s="9"/>
      <c r="J86" s="9"/>
      <c r="K86" s="9"/>
      <c r="L86" s="9"/>
      <c r="M86" s="9"/>
      <c r="N86" s="10"/>
      <c r="O86" s="9"/>
      <c r="P86" s="9"/>
      <c r="Q86" s="204"/>
      <c r="R86" s="64"/>
      <c r="S86" s="61"/>
      <c r="T86" s="9"/>
      <c r="U86" s="9"/>
      <c r="V86" s="9"/>
      <c r="W86" s="9"/>
      <c r="X86" s="9"/>
      <c r="Y86" s="6"/>
      <c r="Z86" s="6"/>
    </row>
    <row r="87" spans="1:26" ht="15" customHeight="1">
      <c r="A87" s="11"/>
      <c r="B87" s="12"/>
      <c r="C87" s="11"/>
      <c r="D87" s="11"/>
      <c r="E87" s="11"/>
      <c r="F87" s="13"/>
      <c r="G87" s="13"/>
      <c r="H87" s="14"/>
      <c r="I87" s="14"/>
      <c r="J87" s="14"/>
      <c r="K87" s="14"/>
      <c r="L87" s="14"/>
      <c r="M87" s="14"/>
      <c r="N87" s="15"/>
      <c r="O87" s="14"/>
      <c r="P87" s="14"/>
      <c r="Q87" s="205"/>
      <c r="R87" s="65"/>
      <c r="S87" s="62"/>
      <c r="T87" s="14"/>
      <c r="U87" s="14"/>
      <c r="V87" s="14"/>
      <c r="W87" s="14"/>
      <c r="X87" s="14"/>
      <c r="Y87" s="12"/>
      <c r="Z87" s="11"/>
    </row>
    <row r="88" spans="1:26" ht="15" customHeight="1">
      <c r="A88" s="16">
        <v>23</v>
      </c>
      <c r="B88" s="17" t="s">
        <v>126</v>
      </c>
      <c r="C88" s="18" t="s">
        <v>127</v>
      </c>
      <c r="D88" s="16" t="s">
        <v>458</v>
      </c>
      <c r="E88" s="17" t="s">
        <v>30</v>
      </c>
      <c r="F88" s="19" t="s">
        <v>128</v>
      </c>
      <c r="G88" s="19" t="s">
        <v>31</v>
      </c>
      <c r="H88" s="20"/>
      <c r="I88" s="20"/>
      <c r="J88" s="20"/>
      <c r="K88" s="20"/>
      <c r="L88" s="20"/>
      <c r="M88" s="20"/>
      <c r="N88" s="21"/>
      <c r="O88" s="20"/>
      <c r="P88" s="20"/>
      <c r="Q88" s="203"/>
      <c r="R88" s="22"/>
      <c r="S88" s="60">
        <v>4</v>
      </c>
      <c r="T88" s="20">
        <v>4</v>
      </c>
      <c r="U88" s="20">
        <v>4</v>
      </c>
      <c r="V88" s="20">
        <v>4</v>
      </c>
      <c r="W88" s="20">
        <v>4</v>
      </c>
      <c r="X88" s="20">
        <v>4</v>
      </c>
      <c r="Y88" s="17">
        <f>SUM(H88:X88)</f>
        <v>24</v>
      </c>
      <c r="Z88" s="17" t="s">
        <v>37</v>
      </c>
    </row>
    <row r="89" spans="1:26" ht="15" customHeight="1">
      <c r="A89" s="5"/>
      <c r="B89" s="6"/>
      <c r="C89" s="5" t="s">
        <v>129</v>
      </c>
      <c r="D89" s="5" t="s">
        <v>459</v>
      </c>
      <c r="E89" s="5"/>
      <c r="F89" s="8"/>
      <c r="G89" s="8"/>
      <c r="H89" s="9"/>
      <c r="I89" s="9"/>
      <c r="J89" s="9"/>
      <c r="K89" s="9"/>
      <c r="L89" s="9"/>
      <c r="M89" s="9"/>
      <c r="N89" s="10"/>
      <c r="O89" s="9"/>
      <c r="P89" s="9"/>
      <c r="Q89" s="204"/>
      <c r="R89" s="64"/>
      <c r="S89" s="61"/>
      <c r="T89" s="9"/>
      <c r="U89" s="9"/>
      <c r="V89" s="9"/>
      <c r="W89" s="9"/>
      <c r="X89" s="9"/>
      <c r="Y89" s="6"/>
      <c r="Z89" s="6" t="s">
        <v>93</v>
      </c>
    </row>
    <row r="90" spans="1:26" ht="15" customHeight="1">
      <c r="A90" s="11"/>
      <c r="B90" s="12"/>
      <c r="C90" s="11"/>
      <c r="D90" s="11"/>
      <c r="E90" s="11"/>
      <c r="F90" s="13"/>
      <c r="G90" s="13"/>
      <c r="H90" s="14"/>
      <c r="I90" s="14"/>
      <c r="J90" s="14"/>
      <c r="K90" s="14"/>
      <c r="L90" s="14"/>
      <c r="M90" s="14"/>
      <c r="N90" s="15"/>
      <c r="O90" s="14"/>
      <c r="P90" s="14"/>
      <c r="Q90" s="205"/>
      <c r="R90" s="65"/>
      <c r="S90" s="62"/>
      <c r="T90" s="14"/>
      <c r="U90" s="14"/>
      <c r="V90" s="14"/>
      <c r="W90" s="14"/>
      <c r="X90" s="14"/>
      <c r="Y90" s="12"/>
      <c r="Z90" s="12"/>
    </row>
    <row r="91" spans="1:26" ht="15" customHeight="1">
      <c r="A91" s="16">
        <v>24</v>
      </c>
      <c r="B91" s="17" t="s">
        <v>131</v>
      </c>
      <c r="C91" s="18" t="s">
        <v>132</v>
      </c>
      <c r="D91" s="16" t="s">
        <v>121</v>
      </c>
      <c r="E91" s="17" t="s">
        <v>30</v>
      </c>
      <c r="F91" s="19" t="s">
        <v>122</v>
      </c>
      <c r="G91" s="19" t="s">
        <v>122</v>
      </c>
      <c r="H91" s="20"/>
      <c r="I91" s="20"/>
      <c r="J91" s="20"/>
      <c r="K91" s="20"/>
      <c r="L91" s="20"/>
      <c r="M91" s="20"/>
      <c r="N91" s="21">
        <v>2</v>
      </c>
      <c r="O91" s="20">
        <v>2</v>
      </c>
      <c r="P91" s="20">
        <v>2</v>
      </c>
      <c r="Q91" s="203">
        <v>2</v>
      </c>
      <c r="R91" s="22">
        <v>2</v>
      </c>
      <c r="S91" s="60"/>
      <c r="T91" s="20"/>
      <c r="U91" s="20"/>
      <c r="V91" s="20"/>
      <c r="W91" s="20"/>
      <c r="X91" s="20"/>
      <c r="Y91" s="17">
        <f>SUM(H91:X93)</f>
        <v>10</v>
      </c>
      <c r="Z91" s="189" t="s">
        <v>37</v>
      </c>
    </row>
    <row r="92" spans="1:26" ht="15" customHeight="1">
      <c r="A92" s="5"/>
      <c r="B92" s="6"/>
      <c r="C92" s="5" t="s">
        <v>133</v>
      </c>
      <c r="D92" s="5" t="s">
        <v>124</v>
      </c>
      <c r="E92" s="5"/>
      <c r="F92" s="8" t="s">
        <v>41</v>
      </c>
      <c r="G92" s="8"/>
      <c r="H92" s="9"/>
      <c r="I92" s="9"/>
      <c r="J92" s="9"/>
      <c r="K92" s="9"/>
      <c r="L92" s="9"/>
      <c r="M92" s="9"/>
      <c r="N92" s="10"/>
      <c r="O92" s="9"/>
      <c r="P92" s="9"/>
      <c r="Q92" s="204"/>
      <c r="R92" s="64"/>
      <c r="S92" s="61"/>
      <c r="T92" s="9"/>
      <c r="U92" s="9"/>
      <c r="V92" s="9"/>
      <c r="W92" s="9"/>
      <c r="X92" s="9"/>
      <c r="Y92" s="6"/>
      <c r="Z92" s="190" t="s">
        <v>468</v>
      </c>
    </row>
    <row r="93" spans="1:26" ht="15" customHeight="1">
      <c r="A93" s="11"/>
      <c r="B93" s="12"/>
      <c r="C93" s="11"/>
      <c r="D93" s="11"/>
      <c r="E93" s="11"/>
      <c r="F93" s="86" t="s">
        <v>55</v>
      </c>
      <c r="G93" s="13"/>
      <c r="H93" s="14"/>
      <c r="I93" s="14"/>
      <c r="J93" s="14"/>
      <c r="K93" s="14"/>
      <c r="L93" s="14"/>
      <c r="M93" s="14"/>
      <c r="N93" s="119" t="s">
        <v>435</v>
      </c>
      <c r="O93" s="118" t="s">
        <v>435</v>
      </c>
      <c r="P93" s="75"/>
      <c r="Q93" s="75"/>
      <c r="R93" s="186"/>
      <c r="S93" s="62"/>
      <c r="T93" s="14"/>
      <c r="U93" s="14"/>
      <c r="V93" s="14"/>
      <c r="W93" s="14"/>
      <c r="X93" s="14"/>
      <c r="Y93" s="121">
        <v>6</v>
      </c>
      <c r="Z93" s="12"/>
    </row>
    <row r="94" spans="1:26" ht="15" customHeight="1">
      <c r="A94" s="16">
        <v>25</v>
      </c>
      <c r="B94" s="17" t="s">
        <v>134</v>
      </c>
      <c r="C94" s="18" t="s">
        <v>135</v>
      </c>
      <c r="D94" s="16" t="s">
        <v>121</v>
      </c>
      <c r="E94" s="17" t="s">
        <v>30</v>
      </c>
      <c r="F94" s="19" t="s">
        <v>53</v>
      </c>
      <c r="G94" s="19" t="s">
        <v>53</v>
      </c>
      <c r="H94" s="20">
        <v>4</v>
      </c>
      <c r="I94" s="20">
        <v>4</v>
      </c>
      <c r="J94" s="20">
        <v>4</v>
      </c>
      <c r="K94" s="20">
        <v>4</v>
      </c>
      <c r="L94" s="20"/>
      <c r="M94" s="20"/>
      <c r="N94" s="21">
        <v>4</v>
      </c>
      <c r="O94" s="20"/>
      <c r="P94" s="20"/>
      <c r="Q94" s="203"/>
      <c r="R94" s="22"/>
      <c r="S94" s="60"/>
      <c r="T94" s="20"/>
      <c r="U94" s="20"/>
      <c r="V94" s="20"/>
      <c r="W94" s="20"/>
      <c r="X94" s="20"/>
      <c r="Y94" s="17">
        <f>SUM(H94:X94)</f>
        <v>20</v>
      </c>
      <c r="Z94" s="17" t="s">
        <v>37</v>
      </c>
    </row>
    <row r="95" spans="1:26" ht="15" customHeight="1">
      <c r="A95" s="5"/>
      <c r="B95" s="6"/>
      <c r="C95" s="5" t="s">
        <v>136</v>
      </c>
      <c r="D95" s="5" t="s">
        <v>124</v>
      </c>
      <c r="E95" s="5"/>
      <c r="F95" s="8"/>
      <c r="G95" s="8"/>
      <c r="H95" s="9"/>
      <c r="I95" s="9"/>
      <c r="J95" s="9"/>
      <c r="K95" s="9"/>
      <c r="L95" s="9"/>
      <c r="M95" s="9"/>
      <c r="N95" s="10"/>
      <c r="O95" s="9"/>
      <c r="P95" s="9"/>
      <c r="Q95" s="204"/>
      <c r="R95" s="64"/>
      <c r="S95" s="61"/>
      <c r="T95" s="9"/>
      <c r="U95" s="9"/>
      <c r="V95" s="9"/>
      <c r="W95" s="9"/>
      <c r="X95" s="9"/>
      <c r="Y95" s="6"/>
      <c r="Z95" s="6" t="s">
        <v>148</v>
      </c>
    </row>
    <row r="96" spans="1:26" ht="15" customHeight="1">
      <c r="A96" s="11"/>
      <c r="B96" s="12"/>
      <c r="C96" s="11"/>
      <c r="D96" s="11"/>
      <c r="E96" s="11"/>
      <c r="F96" s="13"/>
      <c r="G96" s="13"/>
      <c r="H96" s="14"/>
      <c r="I96" s="14"/>
      <c r="J96" s="14"/>
      <c r="K96" s="14"/>
      <c r="L96" s="14"/>
      <c r="M96" s="14"/>
      <c r="N96" s="15"/>
      <c r="O96" s="14"/>
      <c r="P96" s="14"/>
      <c r="Q96" s="205"/>
      <c r="R96" s="65"/>
      <c r="S96" s="62"/>
      <c r="T96" s="14"/>
      <c r="U96" s="14"/>
      <c r="V96" s="14"/>
      <c r="W96" s="14"/>
      <c r="X96" s="14"/>
      <c r="Y96" s="12"/>
      <c r="Z96" s="11"/>
    </row>
    <row r="97" spans="1:26" ht="15" customHeight="1">
      <c r="A97" s="16">
        <v>26</v>
      </c>
      <c r="B97" s="17" t="s">
        <v>138</v>
      </c>
      <c r="C97" s="18" t="s">
        <v>139</v>
      </c>
      <c r="D97" s="16" t="s">
        <v>121</v>
      </c>
      <c r="E97" s="17" t="s">
        <v>30</v>
      </c>
      <c r="F97" s="19" t="s">
        <v>36</v>
      </c>
      <c r="G97" s="19" t="s">
        <v>36</v>
      </c>
      <c r="H97" s="20"/>
      <c r="I97" s="20"/>
      <c r="J97" s="20"/>
      <c r="K97" s="20"/>
      <c r="L97" s="20"/>
      <c r="M97" s="20"/>
      <c r="N97" s="21"/>
      <c r="O97" s="20"/>
      <c r="P97" s="20"/>
      <c r="Q97" s="203"/>
      <c r="R97" s="22"/>
      <c r="S97" s="60"/>
      <c r="T97" s="20"/>
      <c r="U97" s="20">
        <v>5</v>
      </c>
      <c r="V97" s="20">
        <v>5</v>
      </c>
      <c r="W97" s="20">
        <v>5</v>
      </c>
      <c r="X97" s="20">
        <v>5</v>
      </c>
      <c r="Y97" s="17">
        <f>SUM(H97:X98)</f>
        <v>20</v>
      </c>
      <c r="Z97" s="16" t="s">
        <v>63</v>
      </c>
    </row>
    <row r="98" spans="1:26" ht="15" customHeight="1">
      <c r="A98" s="5"/>
      <c r="B98" s="6"/>
      <c r="C98" s="5" t="s">
        <v>140</v>
      </c>
      <c r="D98" s="5" t="s">
        <v>124</v>
      </c>
      <c r="E98" s="5"/>
      <c r="F98" s="8"/>
      <c r="G98" s="8"/>
      <c r="H98" s="9"/>
      <c r="I98" s="9"/>
      <c r="J98" s="9"/>
      <c r="K98" s="9"/>
      <c r="L98" s="9"/>
      <c r="M98" s="9"/>
      <c r="N98" s="10"/>
      <c r="O98" s="9"/>
      <c r="P98" s="9"/>
      <c r="Q98" s="204"/>
      <c r="R98" s="64"/>
      <c r="S98" s="61"/>
      <c r="T98" s="9"/>
      <c r="U98" s="9"/>
      <c r="V98" s="9"/>
      <c r="W98" s="9"/>
      <c r="X98" s="9"/>
      <c r="Y98" s="6"/>
      <c r="Z98" s="5"/>
    </row>
    <row r="99" spans="1:26" ht="15" customHeight="1">
      <c r="A99" s="11"/>
      <c r="B99" s="12"/>
      <c r="C99" s="11"/>
      <c r="D99" s="11"/>
      <c r="E99" s="11"/>
      <c r="F99" s="13"/>
      <c r="G99" s="13"/>
      <c r="H99" s="14"/>
      <c r="I99" s="14"/>
      <c r="J99" s="14"/>
      <c r="K99" s="14"/>
      <c r="L99" s="14"/>
      <c r="M99" s="14"/>
      <c r="N99" s="15"/>
      <c r="O99" s="14"/>
      <c r="P99" s="14"/>
      <c r="Q99" s="205"/>
      <c r="R99" s="65"/>
      <c r="S99" s="62"/>
      <c r="T99" s="14"/>
      <c r="U99" s="14"/>
      <c r="V99" s="14"/>
      <c r="W99" s="14"/>
      <c r="X99" s="14"/>
      <c r="Y99" s="12"/>
      <c r="Z99" s="11"/>
    </row>
    <row r="100" spans="1:26" ht="15" customHeight="1">
      <c r="A100" s="16">
        <v>27</v>
      </c>
      <c r="B100" s="17" t="s">
        <v>141</v>
      </c>
      <c r="C100" s="18" t="s">
        <v>150</v>
      </c>
      <c r="D100" s="16" t="s">
        <v>121</v>
      </c>
      <c r="E100" s="17" t="s">
        <v>30</v>
      </c>
      <c r="F100" s="19" t="s">
        <v>151</v>
      </c>
      <c r="G100" s="19" t="s">
        <v>151</v>
      </c>
      <c r="H100" s="20"/>
      <c r="I100" s="20"/>
      <c r="J100" s="20"/>
      <c r="K100" s="20"/>
      <c r="L100" s="20"/>
      <c r="M100" s="20"/>
      <c r="N100" s="21">
        <v>2</v>
      </c>
      <c r="O100" s="20">
        <v>2</v>
      </c>
      <c r="P100" s="20">
        <v>2</v>
      </c>
      <c r="Q100" s="203">
        <v>2</v>
      </c>
      <c r="R100" s="22">
        <v>2</v>
      </c>
      <c r="S100" s="60"/>
      <c r="T100" s="20"/>
      <c r="U100" s="20"/>
      <c r="V100" s="20"/>
      <c r="W100" s="20"/>
      <c r="X100" s="20"/>
      <c r="Y100" s="17">
        <f>SUM(H100:X102)</f>
        <v>10</v>
      </c>
      <c r="Z100" s="17" t="s">
        <v>37</v>
      </c>
    </row>
    <row r="101" spans="1:26" ht="15" customHeight="1">
      <c r="A101" s="5"/>
      <c r="B101" s="6"/>
      <c r="C101" s="5" t="s">
        <v>152</v>
      </c>
      <c r="D101" s="5" t="s">
        <v>124</v>
      </c>
      <c r="E101" s="5"/>
      <c r="F101" s="8" t="s">
        <v>67</v>
      </c>
      <c r="H101" s="9"/>
      <c r="I101" s="9"/>
      <c r="J101" s="9"/>
      <c r="K101" s="9"/>
      <c r="L101" s="9"/>
      <c r="M101" s="9"/>
      <c r="N101" s="10"/>
      <c r="O101" s="9"/>
      <c r="P101" s="9"/>
      <c r="Q101" s="204"/>
      <c r="R101" s="64"/>
      <c r="S101" s="61"/>
      <c r="T101" s="9"/>
      <c r="U101" s="9"/>
      <c r="V101" s="9"/>
      <c r="W101" s="9"/>
      <c r="X101" s="9"/>
      <c r="Y101" s="6"/>
      <c r="Z101" s="6" t="s">
        <v>137</v>
      </c>
    </row>
    <row r="102" spans="1:26" ht="15" customHeight="1">
      <c r="A102" s="11"/>
      <c r="B102" s="12"/>
      <c r="C102" s="11"/>
      <c r="D102" s="11"/>
      <c r="E102" s="11"/>
      <c r="F102" s="86" t="s">
        <v>55</v>
      </c>
      <c r="G102" s="13"/>
      <c r="H102" s="14"/>
      <c r="I102" s="14"/>
      <c r="J102" s="14"/>
      <c r="K102" s="14"/>
      <c r="L102" s="14"/>
      <c r="M102" s="14"/>
      <c r="N102" s="15"/>
      <c r="O102" s="14"/>
      <c r="P102" s="14"/>
      <c r="Q102" s="205"/>
      <c r="R102" s="65"/>
      <c r="S102" s="185" t="s">
        <v>435</v>
      </c>
      <c r="T102" s="118" t="s">
        <v>435</v>
      </c>
      <c r="U102" s="118" t="s">
        <v>435</v>
      </c>
      <c r="V102" s="14"/>
      <c r="W102" s="14"/>
      <c r="X102" s="14"/>
      <c r="Y102" s="121" t="s">
        <v>437</v>
      </c>
      <c r="Z102" s="11"/>
    </row>
    <row r="103" spans="1:26" ht="15" customHeight="1">
      <c r="A103" s="16">
        <v>28</v>
      </c>
      <c r="B103" s="17" t="s">
        <v>145</v>
      </c>
      <c r="C103" s="18" t="s">
        <v>142</v>
      </c>
      <c r="D103" s="16" t="s">
        <v>121</v>
      </c>
      <c r="E103" s="17" t="s">
        <v>30</v>
      </c>
      <c r="F103" s="19" t="s">
        <v>36</v>
      </c>
      <c r="G103" s="19" t="s">
        <v>36</v>
      </c>
      <c r="H103" s="20"/>
      <c r="I103" s="20"/>
      <c r="J103" s="20"/>
      <c r="K103" s="20"/>
      <c r="L103" s="20"/>
      <c r="M103" s="20"/>
      <c r="N103" s="21">
        <v>5</v>
      </c>
      <c r="O103" s="20"/>
      <c r="P103" s="20"/>
      <c r="Q103" s="203">
        <v>5</v>
      </c>
      <c r="R103" s="22"/>
      <c r="S103" s="60"/>
      <c r="T103" s="20"/>
      <c r="U103" s="20"/>
      <c r="V103" s="20"/>
      <c r="W103" s="20"/>
      <c r="X103" s="20"/>
      <c r="Y103" s="17">
        <f>SUM(H103:X105)</f>
        <v>10</v>
      </c>
      <c r="Z103" s="17" t="s">
        <v>111</v>
      </c>
    </row>
    <row r="104" spans="1:26" ht="15" customHeight="1">
      <c r="A104" s="5"/>
      <c r="B104" s="6"/>
      <c r="C104" s="5" t="s">
        <v>143</v>
      </c>
      <c r="D104" s="5" t="s">
        <v>124</v>
      </c>
      <c r="E104" s="5"/>
      <c r="F104" s="106" t="s">
        <v>62</v>
      </c>
      <c r="G104" s="106"/>
      <c r="H104" s="23"/>
      <c r="I104" s="23"/>
      <c r="J104" s="23"/>
      <c r="K104" s="23"/>
      <c r="L104" s="23"/>
      <c r="M104" s="23"/>
      <c r="N104" s="24"/>
      <c r="O104" s="23"/>
      <c r="P104" s="23"/>
      <c r="Q104" s="206"/>
      <c r="R104" s="64"/>
      <c r="S104" s="63"/>
      <c r="T104" s="26"/>
      <c r="U104" s="26"/>
      <c r="V104" s="9"/>
      <c r="W104" s="9"/>
      <c r="X104" s="9"/>
      <c r="Y104" s="27"/>
      <c r="Z104" s="6" t="s">
        <v>37</v>
      </c>
    </row>
    <row r="105" spans="1:26" ht="15" customHeight="1">
      <c r="A105" s="11"/>
      <c r="B105" s="12"/>
      <c r="C105" s="11"/>
      <c r="D105" s="11"/>
      <c r="E105" s="11"/>
      <c r="F105" s="108"/>
      <c r="G105" s="108"/>
      <c r="H105" s="32"/>
      <c r="I105" s="32"/>
      <c r="J105" s="32"/>
      <c r="K105" s="32"/>
      <c r="L105" s="32"/>
      <c r="M105" s="32"/>
      <c r="N105" s="109"/>
      <c r="O105" s="32"/>
      <c r="P105" s="32"/>
      <c r="Q105" s="207"/>
      <c r="R105" s="187"/>
      <c r="S105" s="62"/>
      <c r="T105" s="14"/>
      <c r="U105" s="14"/>
      <c r="V105" s="14"/>
      <c r="W105" s="14"/>
      <c r="X105" s="14"/>
      <c r="Y105" s="12"/>
      <c r="Z105" s="12" t="s">
        <v>89</v>
      </c>
    </row>
    <row r="106" spans="1:26" ht="15" customHeight="1">
      <c r="A106" s="16">
        <v>29</v>
      </c>
      <c r="B106" s="17" t="s">
        <v>149</v>
      </c>
      <c r="C106" s="18" t="s">
        <v>146</v>
      </c>
      <c r="D106" s="16" t="s">
        <v>121</v>
      </c>
      <c r="E106" s="17" t="s">
        <v>30</v>
      </c>
      <c r="F106" s="19" t="s">
        <v>36</v>
      </c>
      <c r="G106" s="19" t="s">
        <v>36</v>
      </c>
      <c r="H106" s="20"/>
      <c r="I106" s="20"/>
      <c r="J106" s="20"/>
      <c r="K106" s="20"/>
      <c r="L106" s="20"/>
      <c r="M106" s="20">
        <v>5</v>
      </c>
      <c r="N106" s="21"/>
      <c r="O106" s="20"/>
      <c r="P106" s="20"/>
      <c r="Q106" s="203"/>
      <c r="R106" s="22"/>
      <c r="S106" s="60"/>
      <c r="T106" s="20"/>
      <c r="U106" s="20"/>
      <c r="V106" s="20"/>
      <c r="W106" s="20"/>
      <c r="X106" s="20"/>
      <c r="Y106" s="17">
        <f>SUM(H106:X108)</f>
        <v>10</v>
      </c>
      <c r="Z106" s="6" t="s">
        <v>433</v>
      </c>
    </row>
    <row r="107" spans="1:26" ht="15" customHeight="1">
      <c r="A107" s="5"/>
      <c r="B107" s="6"/>
      <c r="C107" s="5" t="s">
        <v>147</v>
      </c>
      <c r="D107" s="5" t="s">
        <v>124</v>
      </c>
      <c r="E107" s="5"/>
      <c r="F107" s="8" t="s">
        <v>75</v>
      </c>
      <c r="G107" s="8"/>
      <c r="H107" s="9"/>
      <c r="I107" s="9"/>
      <c r="J107" s="9"/>
      <c r="K107" s="9"/>
      <c r="L107" s="9"/>
      <c r="M107" s="9"/>
      <c r="N107" s="10">
        <v>1</v>
      </c>
      <c r="O107" s="9">
        <v>1</v>
      </c>
      <c r="P107" s="9">
        <v>1</v>
      </c>
      <c r="Q107" s="204">
        <v>1</v>
      </c>
      <c r="R107" s="64">
        <v>1</v>
      </c>
      <c r="S107" s="61"/>
      <c r="T107" s="9"/>
      <c r="U107" s="9"/>
      <c r="V107" s="9"/>
      <c r="W107" s="9"/>
      <c r="X107" s="9"/>
      <c r="Y107" s="6"/>
      <c r="Z107" s="6" t="s">
        <v>37</v>
      </c>
    </row>
    <row r="108" spans="1:26" ht="15" customHeight="1">
      <c r="A108" s="11"/>
      <c r="B108" s="12"/>
      <c r="C108" s="11"/>
      <c r="D108" s="11"/>
      <c r="E108" s="11"/>
      <c r="F108" s="108" t="s">
        <v>62</v>
      </c>
      <c r="G108" s="108"/>
      <c r="H108" s="32"/>
      <c r="I108" s="32"/>
      <c r="J108" s="32"/>
      <c r="K108" s="32"/>
      <c r="L108" s="32"/>
      <c r="M108" s="32"/>
      <c r="N108" s="109"/>
      <c r="O108" s="32"/>
      <c r="P108" s="32"/>
      <c r="Q108" s="207"/>
      <c r="R108" s="187"/>
      <c r="S108" s="62"/>
      <c r="T108" s="14"/>
      <c r="U108" s="14"/>
      <c r="V108" s="14"/>
      <c r="W108" s="14"/>
      <c r="X108" s="14"/>
      <c r="Y108" s="34"/>
      <c r="Z108" s="12" t="s">
        <v>469</v>
      </c>
    </row>
    <row r="109" spans="1:26" ht="15" customHeight="1">
      <c r="A109" s="28"/>
      <c r="B109" s="29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5" customHeight="1">
      <c r="A110" s="35"/>
      <c r="B110" s="36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5" customHeight="1">
      <c r="A111" s="35"/>
      <c r="B111" s="36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5" customHeight="1">
      <c r="A112" s="2"/>
      <c r="B112" s="30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customHeight="1">
      <c r="A113" s="348" t="s">
        <v>4</v>
      </c>
      <c r="B113" s="4"/>
      <c r="C113" s="348" t="s">
        <v>6</v>
      </c>
      <c r="D113" s="4" t="s">
        <v>7</v>
      </c>
      <c r="E113" s="4" t="s">
        <v>8</v>
      </c>
      <c r="F113" s="4" t="s">
        <v>9</v>
      </c>
      <c r="G113" s="4" t="s">
        <v>9</v>
      </c>
      <c r="H113" s="348" t="s">
        <v>10</v>
      </c>
      <c r="I113" s="348"/>
      <c r="J113" s="348"/>
      <c r="K113" s="348"/>
      <c r="L113" s="348"/>
      <c r="M113" s="348"/>
      <c r="N113" s="348"/>
      <c r="O113" s="348"/>
      <c r="P113" s="348"/>
      <c r="Q113" s="348"/>
      <c r="R113" s="348"/>
      <c r="S113" s="348"/>
      <c r="T113" s="348"/>
      <c r="U113" s="348"/>
      <c r="V113" s="348"/>
      <c r="W113" s="348"/>
      <c r="X113" s="348"/>
      <c r="Y113" s="348"/>
      <c r="Z113" s="348" t="s">
        <v>69</v>
      </c>
    </row>
    <row r="114" spans="1:26" ht="15" customHeight="1">
      <c r="A114" s="348"/>
      <c r="B114" s="195" t="s">
        <v>5</v>
      </c>
      <c r="C114" s="348"/>
      <c r="D114" s="349" t="s">
        <v>12</v>
      </c>
      <c r="E114" s="349" t="s">
        <v>13</v>
      </c>
      <c r="F114" s="195" t="s">
        <v>14</v>
      </c>
      <c r="G114" s="195" t="s">
        <v>15</v>
      </c>
      <c r="H114" s="351" t="s">
        <v>16</v>
      </c>
      <c r="I114" s="352"/>
      <c r="J114" s="352"/>
      <c r="K114" s="352"/>
      <c r="L114" s="352"/>
      <c r="M114" s="352"/>
      <c r="N114" s="353" t="s">
        <v>17</v>
      </c>
      <c r="O114" s="352"/>
      <c r="P114" s="352"/>
      <c r="Q114" s="352"/>
      <c r="R114" s="352"/>
      <c r="S114" s="353" t="s">
        <v>18</v>
      </c>
      <c r="T114" s="352"/>
      <c r="U114" s="352"/>
      <c r="V114" s="352"/>
      <c r="W114" s="352"/>
      <c r="X114" s="352"/>
      <c r="Y114" s="348" t="s">
        <v>19</v>
      </c>
      <c r="Z114" s="348"/>
    </row>
    <row r="115" spans="1:26" ht="15" customHeight="1">
      <c r="A115" s="348"/>
      <c r="B115" s="196"/>
      <c r="C115" s="348"/>
      <c r="D115" s="350"/>
      <c r="E115" s="350"/>
      <c r="F115" s="196" t="s">
        <v>20</v>
      </c>
      <c r="G115" s="196" t="s">
        <v>21</v>
      </c>
      <c r="H115" s="194" t="s">
        <v>22</v>
      </c>
      <c r="I115" s="194" t="s">
        <v>23</v>
      </c>
      <c r="J115" s="194" t="s">
        <v>24</v>
      </c>
      <c r="K115" s="194" t="s">
        <v>25</v>
      </c>
      <c r="L115" s="194" t="s">
        <v>26</v>
      </c>
      <c r="M115" s="194" t="s">
        <v>27</v>
      </c>
      <c r="N115" s="184" t="s">
        <v>22</v>
      </c>
      <c r="O115" s="194" t="s">
        <v>23</v>
      </c>
      <c r="P115" s="194" t="s">
        <v>24</v>
      </c>
      <c r="Q115" s="194" t="s">
        <v>25</v>
      </c>
      <c r="R115" s="194" t="s">
        <v>26</v>
      </c>
      <c r="S115" s="184" t="s">
        <v>22</v>
      </c>
      <c r="T115" s="194" t="s">
        <v>23</v>
      </c>
      <c r="U115" s="194" t="s">
        <v>24</v>
      </c>
      <c r="V115" s="194" t="s">
        <v>25</v>
      </c>
      <c r="W115" s="194" t="s">
        <v>26</v>
      </c>
      <c r="X115" s="194" t="s">
        <v>27</v>
      </c>
      <c r="Y115" s="348"/>
      <c r="Z115" s="348"/>
    </row>
    <row r="116" spans="1:26" ht="15" customHeight="1">
      <c r="A116" s="16"/>
      <c r="B116" s="17"/>
      <c r="C116" s="16"/>
      <c r="D116" s="16"/>
      <c r="E116" s="16"/>
      <c r="F116" s="19"/>
      <c r="G116" s="19"/>
      <c r="H116" s="20"/>
      <c r="I116" s="20"/>
      <c r="J116" s="20"/>
      <c r="K116" s="20"/>
      <c r="L116" s="20"/>
      <c r="M116" s="20"/>
      <c r="N116" s="21"/>
      <c r="O116" s="20"/>
      <c r="P116" s="20"/>
      <c r="Q116" s="20"/>
      <c r="R116" s="20"/>
      <c r="S116" s="21"/>
      <c r="T116" s="20"/>
      <c r="U116" s="20"/>
      <c r="V116" s="20"/>
      <c r="W116" s="20"/>
      <c r="X116" s="20"/>
      <c r="Y116" s="17"/>
      <c r="Z116" s="16"/>
    </row>
    <row r="117" spans="1:26" ht="15" customHeight="1">
      <c r="A117" s="5">
        <v>30</v>
      </c>
      <c r="B117" s="6" t="s">
        <v>153</v>
      </c>
      <c r="C117" s="7" t="s">
        <v>154</v>
      </c>
      <c r="D117" s="5"/>
      <c r="E117" s="6" t="s">
        <v>30</v>
      </c>
      <c r="F117" s="8" t="s">
        <v>53</v>
      </c>
      <c r="G117" s="8"/>
      <c r="H117" s="9"/>
      <c r="I117" s="9"/>
      <c r="J117" s="9"/>
      <c r="K117" s="9"/>
      <c r="L117" s="9"/>
      <c r="M117" s="9"/>
      <c r="N117" s="10"/>
      <c r="O117" s="9"/>
      <c r="P117" s="9"/>
      <c r="Q117" s="9"/>
      <c r="R117" s="9"/>
      <c r="S117" s="10"/>
      <c r="T117" s="9"/>
      <c r="U117" s="9"/>
      <c r="V117" s="9"/>
      <c r="W117" s="9"/>
      <c r="X117" s="9"/>
      <c r="Y117" s="6">
        <f>SUM(H117:X117)</f>
        <v>0</v>
      </c>
      <c r="Z117" s="5" t="s">
        <v>111</v>
      </c>
    </row>
    <row r="118" spans="1:26" ht="15" customHeight="1">
      <c r="A118" s="11"/>
      <c r="B118" s="12"/>
      <c r="C118" s="11"/>
      <c r="D118" s="11"/>
      <c r="E118" s="11"/>
      <c r="F118" s="13"/>
      <c r="G118" s="13"/>
      <c r="H118" s="14"/>
      <c r="I118" s="14"/>
      <c r="J118" s="14"/>
      <c r="K118" s="14"/>
      <c r="L118" s="14"/>
      <c r="M118" s="14"/>
      <c r="N118" s="15"/>
      <c r="O118" s="14"/>
      <c r="P118" s="14"/>
      <c r="Q118" s="14"/>
      <c r="R118" s="14"/>
      <c r="S118" s="15"/>
      <c r="T118" s="14"/>
      <c r="U118" s="14"/>
      <c r="V118" s="14"/>
      <c r="W118" s="14"/>
      <c r="X118" s="14"/>
      <c r="Y118" s="12"/>
      <c r="Z118" s="11"/>
    </row>
    <row r="119" spans="1:26" ht="15" customHeight="1">
      <c r="A119" s="16">
        <v>31</v>
      </c>
      <c r="B119" s="17" t="s">
        <v>156</v>
      </c>
      <c r="C119" s="18" t="s">
        <v>157</v>
      </c>
      <c r="D119" s="16"/>
      <c r="E119" s="17" t="s">
        <v>30</v>
      </c>
      <c r="F119" s="19" t="s">
        <v>67</v>
      </c>
      <c r="G119" s="19"/>
      <c r="H119" s="20">
        <v>2</v>
      </c>
      <c r="I119" s="20">
        <v>2</v>
      </c>
      <c r="J119" s="20">
        <v>2</v>
      </c>
      <c r="K119" s="20">
        <v>2</v>
      </c>
      <c r="L119" s="20">
        <v>2</v>
      </c>
      <c r="M119" s="20">
        <v>2</v>
      </c>
      <c r="N119" s="21">
        <v>2</v>
      </c>
      <c r="O119" s="20">
        <v>2</v>
      </c>
      <c r="P119" s="20"/>
      <c r="Q119" s="20"/>
      <c r="R119" s="20"/>
      <c r="S119" s="21"/>
      <c r="T119" s="20"/>
      <c r="U119" s="20"/>
      <c r="V119" s="20"/>
      <c r="W119" s="20"/>
      <c r="X119" s="20"/>
      <c r="Y119" s="17">
        <f>SUM(H119:X120)</f>
        <v>24</v>
      </c>
      <c r="Z119" s="16" t="s">
        <v>155</v>
      </c>
    </row>
    <row r="120" spans="1:26" ht="15" customHeight="1">
      <c r="A120" s="11"/>
      <c r="B120" s="12"/>
      <c r="C120" s="11"/>
      <c r="D120" s="11"/>
      <c r="E120" s="11"/>
      <c r="F120" s="13" t="s">
        <v>466</v>
      </c>
      <c r="G120" s="13"/>
      <c r="H120" s="14">
        <v>1</v>
      </c>
      <c r="I120" s="14">
        <v>1</v>
      </c>
      <c r="J120" s="14">
        <v>1</v>
      </c>
      <c r="K120" s="14">
        <v>1</v>
      </c>
      <c r="L120" s="14">
        <v>1</v>
      </c>
      <c r="M120" s="14">
        <v>1</v>
      </c>
      <c r="N120" s="15">
        <v>1</v>
      </c>
      <c r="O120" s="14">
        <v>1</v>
      </c>
      <c r="P120" s="14"/>
      <c r="Q120" s="14"/>
      <c r="R120" s="14"/>
      <c r="S120" s="15"/>
      <c r="T120" s="14"/>
      <c r="U120" s="14"/>
      <c r="V120" s="14"/>
      <c r="W120" s="14"/>
      <c r="X120" s="14"/>
      <c r="Y120" s="12"/>
      <c r="Z120" s="11"/>
    </row>
    <row r="121" spans="1:26" ht="15" customHeight="1">
      <c r="A121" s="16">
        <v>32</v>
      </c>
      <c r="B121" s="17" t="s">
        <v>158</v>
      </c>
      <c r="C121" s="18" t="s">
        <v>159</v>
      </c>
      <c r="D121" s="16"/>
      <c r="E121" s="17" t="s">
        <v>30</v>
      </c>
      <c r="F121" s="19" t="s">
        <v>88</v>
      </c>
      <c r="G121" s="19"/>
      <c r="H121" s="20"/>
      <c r="I121" s="20"/>
      <c r="J121" s="20"/>
      <c r="K121" s="20"/>
      <c r="L121" s="20"/>
      <c r="M121" s="20"/>
      <c r="N121" s="21"/>
      <c r="O121" s="20"/>
      <c r="P121" s="20"/>
      <c r="Q121" s="20"/>
      <c r="R121" s="20"/>
      <c r="S121" s="21"/>
      <c r="T121" s="20"/>
      <c r="U121" s="20"/>
      <c r="V121" s="20"/>
      <c r="W121" s="20"/>
      <c r="X121" s="20"/>
      <c r="Y121" s="17">
        <f>SUM(H121:X121)</f>
        <v>0</v>
      </c>
      <c r="Z121" s="16" t="s">
        <v>155</v>
      </c>
    </row>
    <row r="122" spans="1:26" ht="15" customHeight="1">
      <c r="A122" s="11"/>
      <c r="B122" s="12"/>
      <c r="C122" s="11"/>
      <c r="D122" s="11"/>
      <c r="E122" s="11"/>
      <c r="F122" s="13"/>
      <c r="G122" s="13"/>
      <c r="H122" s="14"/>
      <c r="I122" s="14"/>
      <c r="J122" s="14"/>
      <c r="K122" s="14"/>
      <c r="L122" s="14"/>
      <c r="M122" s="14"/>
      <c r="N122" s="15"/>
      <c r="O122" s="14"/>
      <c r="P122" s="14"/>
      <c r="Q122" s="14"/>
      <c r="R122" s="14"/>
      <c r="S122" s="15"/>
      <c r="T122" s="14"/>
      <c r="U122" s="14"/>
      <c r="V122" s="14"/>
      <c r="W122" s="14"/>
      <c r="X122" s="14"/>
      <c r="Y122" s="12"/>
      <c r="Z122" s="11"/>
    </row>
    <row r="123" spans="1:26" ht="15" customHeight="1">
      <c r="A123" s="16">
        <v>33</v>
      </c>
      <c r="B123" s="17" t="s">
        <v>160</v>
      </c>
      <c r="C123" s="18" t="s">
        <v>161</v>
      </c>
      <c r="D123" s="16"/>
      <c r="E123" s="17" t="s">
        <v>30</v>
      </c>
      <c r="F123" s="19" t="s">
        <v>162</v>
      </c>
      <c r="G123" s="19"/>
      <c r="H123" s="20"/>
      <c r="I123" s="20"/>
      <c r="J123" s="20"/>
      <c r="K123" s="20"/>
      <c r="L123" s="20"/>
      <c r="M123" s="20"/>
      <c r="N123" s="21"/>
      <c r="O123" s="20"/>
      <c r="P123" s="20"/>
      <c r="Q123" s="20"/>
      <c r="R123" s="20"/>
      <c r="S123" s="21"/>
      <c r="T123" s="20"/>
      <c r="U123" s="20"/>
      <c r="V123" s="20"/>
      <c r="W123" s="20"/>
      <c r="X123" s="20"/>
      <c r="Y123" s="17">
        <f>SUM(H123:X123)</f>
        <v>0</v>
      </c>
      <c r="Z123" s="16" t="s">
        <v>155</v>
      </c>
    </row>
    <row r="124" spans="1:26" ht="15" customHeight="1">
      <c r="A124" s="11"/>
      <c r="B124" s="12"/>
      <c r="C124" s="11"/>
      <c r="D124" s="11"/>
      <c r="E124" s="11"/>
      <c r="F124" s="13"/>
      <c r="G124" s="13"/>
      <c r="H124" s="14"/>
      <c r="I124" s="14"/>
      <c r="J124" s="14"/>
      <c r="K124" s="14"/>
      <c r="L124" s="14"/>
      <c r="M124" s="14"/>
      <c r="N124" s="15"/>
      <c r="O124" s="14"/>
      <c r="P124" s="14"/>
      <c r="Q124" s="14"/>
      <c r="R124" s="14"/>
      <c r="S124" s="15"/>
      <c r="T124" s="14"/>
      <c r="U124" s="14"/>
      <c r="V124" s="14"/>
      <c r="W124" s="14"/>
      <c r="X124" s="14"/>
      <c r="Y124" s="12"/>
      <c r="Z124" s="11"/>
    </row>
    <row r="125" spans="1:26" ht="15" customHeight="1">
      <c r="A125" s="16">
        <v>34</v>
      </c>
      <c r="B125" s="17" t="s">
        <v>163</v>
      </c>
      <c r="C125" s="18" t="s">
        <v>164</v>
      </c>
      <c r="D125" s="16"/>
      <c r="E125" s="17" t="s">
        <v>30</v>
      </c>
      <c r="F125" s="87" t="s">
        <v>165</v>
      </c>
      <c r="G125" s="19"/>
      <c r="H125" s="107" t="s">
        <v>435</v>
      </c>
      <c r="I125" s="107" t="s">
        <v>435</v>
      </c>
      <c r="J125" s="107" t="s">
        <v>435</v>
      </c>
      <c r="K125" s="37"/>
      <c r="L125" s="37"/>
      <c r="M125" s="37"/>
      <c r="N125" s="21"/>
      <c r="O125" s="20"/>
      <c r="P125" s="20"/>
      <c r="Q125" s="20"/>
      <c r="R125" s="20"/>
      <c r="S125" s="88"/>
      <c r="T125" s="31"/>
      <c r="U125" s="31"/>
      <c r="V125" s="31"/>
      <c r="W125" s="31"/>
      <c r="X125" s="37"/>
      <c r="Y125" s="122">
        <v>9</v>
      </c>
      <c r="Z125" s="16" t="s">
        <v>155</v>
      </c>
    </row>
    <row r="126" spans="1:26" ht="15" customHeight="1">
      <c r="A126" s="11"/>
      <c r="B126" s="12"/>
      <c r="C126" s="11"/>
      <c r="D126" s="11"/>
      <c r="E126" s="11"/>
      <c r="F126" s="13"/>
      <c r="G126" s="13"/>
      <c r="H126" s="14"/>
      <c r="I126" s="14"/>
      <c r="J126" s="14"/>
      <c r="K126" s="14"/>
      <c r="L126" s="14"/>
      <c r="M126" s="14"/>
      <c r="N126" s="15"/>
      <c r="O126" s="14"/>
      <c r="P126" s="14"/>
      <c r="Q126" s="14"/>
      <c r="R126" s="14"/>
      <c r="S126" s="15"/>
      <c r="T126" s="14"/>
      <c r="U126" s="14"/>
      <c r="V126" s="14"/>
      <c r="W126" s="14"/>
      <c r="X126" s="14"/>
      <c r="Y126" s="12"/>
      <c r="Z126" s="11"/>
    </row>
    <row r="127" spans="1:26" ht="15" customHeight="1">
      <c r="A127" s="16">
        <v>35</v>
      </c>
      <c r="B127" s="17" t="s">
        <v>166</v>
      </c>
      <c r="C127" s="18" t="s">
        <v>167</v>
      </c>
      <c r="D127" s="16"/>
      <c r="E127" s="17" t="s">
        <v>30</v>
      </c>
      <c r="F127" s="19" t="s">
        <v>62</v>
      </c>
      <c r="G127" s="19"/>
      <c r="H127" s="20"/>
      <c r="I127" s="20"/>
      <c r="J127" s="20"/>
      <c r="K127" s="20"/>
      <c r="L127" s="20"/>
      <c r="M127" s="20"/>
      <c r="N127" s="21"/>
      <c r="O127" s="20"/>
      <c r="P127" s="20"/>
      <c r="Q127" s="20"/>
      <c r="R127" s="20"/>
      <c r="S127" s="21"/>
      <c r="T127" s="20"/>
      <c r="U127" s="20"/>
      <c r="V127" s="20"/>
      <c r="W127" s="20"/>
      <c r="X127" s="20"/>
      <c r="Y127" s="17">
        <f>SUM(H127:X128)</f>
        <v>0</v>
      </c>
      <c r="Z127" s="16" t="s">
        <v>155</v>
      </c>
    </row>
    <row r="128" spans="1:26" ht="15" customHeight="1">
      <c r="A128" s="11"/>
      <c r="B128" s="12"/>
      <c r="C128" s="11"/>
      <c r="D128" s="11"/>
      <c r="E128" s="11"/>
      <c r="F128" s="108"/>
      <c r="G128" s="108"/>
      <c r="H128" s="32"/>
      <c r="I128" s="32"/>
      <c r="J128" s="32"/>
      <c r="K128" s="32"/>
      <c r="L128" s="32"/>
      <c r="M128" s="32"/>
      <c r="N128" s="38"/>
      <c r="O128" s="32"/>
      <c r="P128" s="32"/>
      <c r="Q128" s="32"/>
      <c r="R128" s="32"/>
      <c r="S128" s="109"/>
      <c r="T128" s="32"/>
      <c r="U128" s="32"/>
      <c r="V128" s="32"/>
      <c r="W128" s="32"/>
      <c r="X128" s="37"/>
      <c r="Y128" s="37"/>
      <c r="Z128" s="11"/>
    </row>
    <row r="129" spans="1:26" ht="15" customHeight="1">
      <c r="A129" s="16">
        <v>36</v>
      </c>
      <c r="B129" s="17" t="s">
        <v>168</v>
      </c>
      <c r="C129" s="18" t="s">
        <v>169</v>
      </c>
      <c r="D129" s="16"/>
      <c r="E129" s="17" t="s">
        <v>30</v>
      </c>
      <c r="F129" s="19" t="s">
        <v>162</v>
      </c>
      <c r="G129" s="19"/>
      <c r="H129" s="20">
        <v>4</v>
      </c>
      <c r="I129" s="20"/>
      <c r="J129" s="20"/>
      <c r="K129" s="20"/>
      <c r="L129" s="20"/>
      <c r="M129" s="20"/>
      <c r="N129" s="21"/>
      <c r="O129" s="20"/>
      <c r="P129" s="20"/>
      <c r="Q129" s="20"/>
      <c r="R129" s="20"/>
      <c r="S129" s="21"/>
      <c r="T129" s="20"/>
      <c r="U129" s="20"/>
      <c r="V129" s="20"/>
      <c r="W129" s="20"/>
      <c r="X129" s="20"/>
      <c r="Y129" s="17">
        <f>SUM(H129:X129)</f>
        <v>4</v>
      </c>
      <c r="Z129" s="39" t="s">
        <v>155</v>
      </c>
    </row>
    <row r="130" spans="1:26" ht="15" customHeight="1">
      <c r="A130" s="11"/>
      <c r="B130" s="12"/>
      <c r="C130" s="11"/>
      <c r="D130" s="11"/>
      <c r="E130" s="11"/>
      <c r="F130" s="13"/>
      <c r="G130" s="13"/>
      <c r="H130" s="14"/>
      <c r="I130" s="14"/>
      <c r="J130" s="14"/>
      <c r="K130" s="14"/>
      <c r="L130" s="14"/>
      <c r="M130" s="14"/>
      <c r="N130" s="15"/>
      <c r="O130" s="14"/>
      <c r="P130" s="14"/>
      <c r="Q130" s="14"/>
      <c r="R130" s="14"/>
      <c r="S130" s="15"/>
      <c r="T130" s="14"/>
      <c r="U130" s="14"/>
      <c r="V130" s="14"/>
      <c r="W130" s="14"/>
      <c r="X130" s="14"/>
      <c r="Y130" s="12"/>
      <c r="Z130" s="12"/>
    </row>
    <row r="131" spans="1:26" ht="15" customHeight="1">
      <c r="A131" s="16">
        <v>37</v>
      </c>
      <c r="B131" s="17" t="s">
        <v>170</v>
      </c>
      <c r="C131" s="18" t="s">
        <v>171</v>
      </c>
      <c r="D131" s="16"/>
      <c r="E131" s="17" t="s">
        <v>30</v>
      </c>
      <c r="F131" s="19" t="s">
        <v>36</v>
      </c>
      <c r="G131" s="19"/>
      <c r="H131" s="20"/>
      <c r="I131" s="20"/>
      <c r="J131" s="20"/>
      <c r="K131" s="20"/>
      <c r="L131" s="20"/>
      <c r="M131" s="20"/>
      <c r="N131" s="21"/>
      <c r="O131" s="20"/>
      <c r="P131" s="20"/>
      <c r="Q131" s="20"/>
      <c r="R131" s="20"/>
      <c r="S131" s="21"/>
      <c r="T131" s="20"/>
      <c r="U131" s="20"/>
      <c r="V131" s="20"/>
      <c r="W131" s="20"/>
      <c r="X131" s="20"/>
      <c r="Y131" s="17">
        <f>SUM(H131:X132)</f>
        <v>0</v>
      </c>
      <c r="Z131" s="16" t="s">
        <v>155</v>
      </c>
    </row>
    <row r="132" spans="1:26" ht="15" customHeight="1">
      <c r="A132" s="11"/>
      <c r="B132" s="12"/>
      <c r="C132" s="11"/>
      <c r="D132" s="11"/>
      <c r="E132" s="11"/>
      <c r="F132" s="108"/>
      <c r="G132" s="108"/>
      <c r="H132" s="32"/>
      <c r="I132" s="32"/>
      <c r="J132" s="32"/>
      <c r="K132" s="32"/>
      <c r="L132" s="32"/>
      <c r="M132" s="32"/>
      <c r="N132" s="109"/>
      <c r="O132" s="33"/>
      <c r="P132" s="33"/>
      <c r="Q132" s="33"/>
      <c r="R132" s="32"/>
      <c r="S132" s="109"/>
      <c r="T132" s="32"/>
      <c r="U132" s="32"/>
      <c r="V132" s="37"/>
      <c r="W132" s="37"/>
      <c r="X132" s="32"/>
      <c r="Y132" s="198"/>
      <c r="Z132" s="11"/>
    </row>
    <row r="133" spans="1:26" ht="15" customHeight="1">
      <c r="A133" s="16">
        <v>38</v>
      </c>
      <c r="B133" s="17" t="s">
        <v>172</v>
      </c>
      <c r="C133" s="18" t="s">
        <v>173</v>
      </c>
      <c r="D133" s="16"/>
      <c r="E133" s="17" t="s">
        <v>30</v>
      </c>
      <c r="F133" s="19" t="s">
        <v>67</v>
      </c>
      <c r="G133" s="19"/>
      <c r="H133" s="20"/>
      <c r="I133" s="20"/>
      <c r="J133" s="20"/>
      <c r="K133" s="20"/>
      <c r="L133" s="20"/>
      <c r="M133" s="20"/>
      <c r="N133" s="21"/>
      <c r="O133" s="20"/>
      <c r="P133" s="20"/>
      <c r="Q133" s="20"/>
      <c r="R133" s="20"/>
      <c r="S133" s="21"/>
      <c r="T133" s="20"/>
      <c r="U133" s="20"/>
      <c r="V133" s="20"/>
      <c r="W133" s="20"/>
      <c r="X133" s="20"/>
      <c r="Y133" s="17">
        <f>SUM(H133:X134)</f>
        <v>0</v>
      </c>
      <c r="Z133" s="16" t="s">
        <v>111</v>
      </c>
    </row>
    <row r="134" spans="1:26" ht="15" customHeight="1">
      <c r="A134" s="5"/>
      <c r="B134" s="6"/>
      <c r="C134" s="7"/>
      <c r="D134" s="5"/>
      <c r="E134" s="6"/>
      <c r="F134" s="123"/>
      <c r="G134" s="123"/>
      <c r="H134" s="124"/>
      <c r="I134" s="124"/>
      <c r="J134" s="124"/>
      <c r="K134" s="124"/>
      <c r="L134" s="124"/>
      <c r="M134" s="124"/>
      <c r="N134" s="125"/>
      <c r="O134" s="124"/>
      <c r="P134" s="124"/>
      <c r="Q134" s="124"/>
      <c r="R134" s="124"/>
      <c r="S134" s="40"/>
      <c r="T134" s="6"/>
      <c r="U134" s="6"/>
      <c r="V134" s="6"/>
      <c r="W134" s="6"/>
      <c r="X134" s="6"/>
      <c r="Y134" s="6"/>
      <c r="Z134" s="5"/>
    </row>
    <row r="135" spans="1:26" ht="15" customHeight="1">
      <c r="A135" s="16">
        <v>39</v>
      </c>
      <c r="B135" s="17" t="s">
        <v>174</v>
      </c>
      <c r="C135" s="18" t="s">
        <v>175</v>
      </c>
      <c r="D135" s="16"/>
      <c r="E135" s="17" t="s">
        <v>30</v>
      </c>
      <c r="F135" s="19" t="s">
        <v>176</v>
      </c>
      <c r="G135" s="19"/>
      <c r="H135" s="20"/>
      <c r="I135" s="20">
        <v>4</v>
      </c>
      <c r="J135" s="20"/>
      <c r="K135" s="20"/>
      <c r="L135" s="20"/>
      <c r="M135" s="20"/>
      <c r="N135" s="21"/>
      <c r="O135" s="20"/>
      <c r="P135" s="20"/>
      <c r="Q135" s="20"/>
      <c r="R135" s="20"/>
      <c r="S135" s="21"/>
      <c r="T135" s="20"/>
      <c r="U135" s="20"/>
      <c r="V135" s="20"/>
      <c r="W135" s="20"/>
      <c r="X135" s="20"/>
      <c r="Y135" s="17">
        <f>SUM(H135:X135)</f>
        <v>4</v>
      </c>
      <c r="Z135" s="16" t="s">
        <v>155</v>
      </c>
    </row>
    <row r="136" spans="1:26" ht="15" customHeight="1">
      <c r="A136" s="11"/>
      <c r="B136" s="12"/>
      <c r="C136" s="11"/>
      <c r="D136" s="11"/>
      <c r="E136" s="11"/>
      <c r="F136" s="13"/>
      <c r="G136" s="13"/>
      <c r="H136" s="14"/>
      <c r="I136" s="14"/>
      <c r="J136" s="14"/>
      <c r="K136" s="14"/>
      <c r="L136" s="14"/>
      <c r="M136" s="14"/>
      <c r="N136" s="15"/>
      <c r="O136" s="14"/>
      <c r="P136" s="14"/>
      <c r="Q136" s="14"/>
      <c r="R136" s="14"/>
      <c r="S136" s="15"/>
      <c r="T136" s="14"/>
      <c r="U136" s="14"/>
      <c r="V136" s="14"/>
      <c r="W136" s="14"/>
      <c r="X136" s="14"/>
      <c r="Y136" s="12"/>
      <c r="Z136" s="11"/>
    </row>
    <row r="137" spans="1:26" ht="15" customHeight="1">
      <c r="A137" s="1"/>
      <c r="B137" s="1"/>
      <c r="C137" s="1"/>
      <c r="D137" s="1"/>
      <c r="E137" s="1"/>
      <c r="F137" s="1"/>
      <c r="G137" s="1"/>
      <c r="H137" s="84">
        <f t="shared" ref="H137:Y137" si="0">SUM(H116:H136)+SUM(H70:H108)+SUM(H42:H69)+SUM(H10:H36)</f>
        <v>36</v>
      </c>
      <c r="I137" s="84">
        <f t="shared" si="0"/>
        <v>36</v>
      </c>
      <c r="J137" s="84">
        <f t="shared" si="0"/>
        <v>36</v>
      </c>
      <c r="K137" s="84">
        <f t="shared" si="0"/>
        <v>36</v>
      </c>
      <c r="L137" s="84">
        <f t="shared" si="0"/>
        <v>36</v>
      </c>
      <c r="M137" s="84">
        <f t="shared" si="0"/>
        <v>36</v>
      </c>
      <c r="N137" s="84">
        <f t="shared" si="0"/>
        <v>36</v>
      </c>
      <c r="O137" s="84">
        <f t="shared" si="0"/>
        <v>36</v>
      </c>
      <c r="P137" s="84">
        <f t="shared" si="0"/>
        <v>36</v>
      </c>
      <c r="Q137" s="84">
        <f t="shared" si="0"/>
        <v>29</v>
      </c>
      <c r="R137" s="84">
        <f t="shared" si="0"/>
        <v>36</v>
      </c>
      <c r="S137" s="84">
        <f t="shared" si="0"/>
        <v>36</v>
      </c>
      <c r="T137" s="84">
        <f t="shared" si="0"/>
        <v>36</v>
      </c>
      <c r="U137" s="84">
        <f t="shared" si="0"/>
        <v>36</v>
      </c>
      <c r="V137" s="84">
        <f t="shared" si="0"/>
        <v>36</v>
      </c>
      <c r="W137" s="84">
        <f t="shared" si="0"/>
        <v>36</v>
      </c>
      <c r="X137" s="84">
        <f t="shared" si="0"/>
        <v>36</v>
      </c>
      <c r="Y137" s="41">
        <f t="shared" si="0"/>
        <v>620</v>
      </c>
      <c r="Z137" s="1"/>
    </row>
    <row r="138" spans="1:26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 t="s">
        <v>481</v>
      </c>
      <c r="S139" s="1"/>
      <c r="T139" s="1"/>
      <c r="U139" s="1"/>
      <c r="V139" s="1"/>
      <c r="W139" s="1"/>
      <c r="X139" s="1"/>
      <c r="Y139" s="1"/>
      <c r="Z139" s="1"/>
    </row>
    <row r="140" spans="1:26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 t="s">
        <v>177</v>
      </c>
      <c r="S140" s="1"/>
      <c r="T140" s="1"/>
      <c r="U140" s="1"/>
      <c r="V140" s="1"/>
      <c r="W140" s="1"/>
      <c r="X140" s="1"/>
      <c r="Y140" s="1"/>
      <c r="Z140" s="1"/>
    </row>
    <row r="141" spans="1:26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 t="s">
        <v>178</v>
      </c>
      <c r="S143" s="1"/>
      <c r="T143" s="1"/>
      <c r="U143" s="1"/>
      <c r="V143" s="1"/>
      <c r="W143" s="1"/>
      <c r="X143" s="1"/>
      <c r="Y143" s="1"/>
      <c r="Z143" s="1"/>
    </row>
    <row r="144" spans="1:26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 t="s">
        <v>179</v>
      </c>
      <c r="S144" s="1"/>
      <c r="T144" s="1"/>
      <c r="U144" s="1"/>
      <c r="V144" s="1"/>
      <c r="W144" s="1"/>
      <c r="X144" s="1"/>
      <c r="Y144" s="1"/>
      <c r="Z144" s="1"/>
    </row>
    <row r="145" spans="1:26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 t="s">
        <v>180</v>
      </c>
      <c r="S145" s="1"/>
      <c r="T145" s="1"/>
      <c r="U145" s="1"/>
      <c r="V145" s="1"/>
      <c r="W145" s="1"/>
      <c r="X145" s="1"/>
      <c r="Y145" s="1"/>
      <c r="Z145" s="1"/>
    </row>
    <row r="146" spans="1:26" ht="15" customHeight="1"/>
    <row r="147" spans="1:26" ht="15" customHeight="1"/>
    <row r="148" spans="1:26" ht="15" customHeight="1"/>
    <row r="149" spans="1:26" ht="15" customHeight="1"/>
    <row r="150" spans="1:26" ht="15" customHeight="1"/>
    <row r="151" spans="1:26" ht="15" customHeight="1"/>
    <row r="152" spans="1:26" ht="15" customHeight="1"/>
    <row r="153" spans="1:26" ht="15" customHeight="1"/>
    <row r="154" spans="1:26" ht="15" customHeight="1"/>
    <row r="155" spans="1:26" ht="15" customHeight="1"/>
    <row r="156" spans="1:26" ht="15" customHeight="1"/>
    <row r="157" spans="1:26" ht="15" customHeight="1"/>
  </sheetData>
  <mergeCells count="41">
    <mergeCell ref="A113:A115"/>
    <mergeCell ref="C113:C115"/>
    <mergeCell ref="H113:Y113"/>
    <mergeCell ref="Z113:Z115"/>
    <mergeCell ref="D114:D115"/>
    <mergeCell ref="E114:E115"/>
    <mergeCell ref="H114:M114"/>
    <mergeCell ref="N114:R114"/>
    <mergeCell ref="S114:X114"/>
    <mergeCell ref="Y114:Y115"/>
    <mergeCell ref="A76:A78"/>
    <mergeCell ref="C76:C78"/>
    <mergeCell ref="H76:Y76"/>
    <mergeCell ref="Z76:Z78"/>
    <mergeCell ref="D77:D78"/>
    <mergeCell ref="E77:E78"/>
    <mergeCell ref="H77:M77"/>
    <mergeCell ref="N77:R77"/>
    <mergeCell ref="S77:X77"/>
    <mergeCell ref="Y77:Y78"/>
    <mergeCell ref="A7:A9"/>
    <mergeCell ref="B7:B9"/>
    <mergeCell ref="C7:C9"/>
    <mergeCell ref="H7:Y7"/>
    <mergeCell ref="Z7:Z9"/>
    <mergeCell ref="D8:D9"/>
    <mergeCell ref="E8:E9"/>
    <mergeCell ref="H8:M8"/>
    <mergeCell ref="N8:R8"/>
    <mergeCell ref="S8:X8"/>
    <mergeCell ref="Y8:Y9"/>
    <mergeCell ref="A39:A41"/>
    <mergeCell ref="C39:C41"/>
    <mergeCell ref="H39:Y39"/>
    <mergeCell ref="Z39:Z41"/>
    <mergeCell ref="D40:D41"/>
    <mergeCell ref="E40:E41"/>
    <mergeCell ref="H40:M40"/>
    <mergeCell ref="N40:R40"/>
    <mergeCell ref="S40:X40"/>
    <mergeCell ref="Y40:Y41"/>
  </mergeCells>
  <pageMargins left="0.70866141732283472" right="0.70866141732283472" top="0.45" bottom="0.44" header="0.31496062992125984" footer="0.31496062992125984"/>
  <pageSetup paperSize="5" orientation="landscape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8"/>
  <sheetViews>
    <sheetView workbookViewId="0">
      <selection activeCell="C29" sqref="C29"/>
    </sheetView>
  </sheetViews>
  <sheetFormatPr defaultRowHeight="15"/>
  <cols>
    <col min="1" max="1" width="5.5703125" customWidth="1"/>
    <col min="2" max="2" width="26" customWidth="1"/>
    <col min="3" max="3" width="18.140625" customWidth="1"/>
    <col min="4" max="4" width="12.28515625" customWidth="1"/>
    <col min="5" max="5" width="11" customWidth="1"/>
    <col min="6" max="6" width="11.5703125" customWidth="1"/>
  </cols>
  <sheetData>
    <row r="1" spans="1:6" ht="17.100000000000001" customHeight="1">
      <c r="A1" s="133"/>
      <c r="B1" s="133"/>
      <c r="C1" s="155" t="s">
        <v>449</v>
      </c>
      <c r="D1" s="155" t="s">
        <v>182</v>
      </c>
      <c r="E1" s="156"/>
      <c r="F1" s="156"/>
    </row>
    <row r="2" spans="1:6" ht="17.100000000000001" customHeight="1">
      <c r="A2" s="133"/>
      <c r="B2" s="133"/>
      <c r="C2" s="156"/>
      <c r="D2" s="156" t="s">
        <v>183</v>
      </c>
      <c r="E2" s="156" t="s">
        <v>471</v>
      </c>
      <c r="F2" s="156"/>
    </row>
    <row r="3" spans="1:6" ht="17.100000000000001" customHeight="1">
      <c r="A3" s="133"/>
      <c r="B3" s="133"/>
      <c r="C3" s="156"/>
      <c r="D3" s="156" t="s">
        <v>184</v>
      </c>
      <c r="E3" s="156" t="s">
        <v>185</v>
      </c>
      <c r="F3" s="156"/>
    </row>
    <row r="4" spans="1:6" ht="17.100000000000001" customHeight="1">
      <c r="A4" s="133"/>
      <c r="B4" s="133"/>
      <c r="C4" s="156"/>
      <c r="D4" s="156" t="s">
        <v>186</v>
      </c>
      <c r="E4" s="156" t="s">
        <v>480</v>
      </c>
      <c r="F4" s="156"/>
    </row>
    <row r="5" spans="1:6" ht="17.100000000000001" customHeight="1">
      <c r="A5" s="133"/>
      <c r="B5" s="133"/>
      <c r="C5" s="133"/>
      <c r="D5" s="133"/>
      <c r="E5" s="133"/>
      <c r="F5" s="133"/>
    </row>
    <row r="6" spans="1:6" ht="17.100000000000001" customHeight="1">
      <c r="A6" s="347" t="s">
        <v>473</v>
      </c>
      <c r="B6" s="347"/>
      <c r="C6" s="347"/>
      <c r="D6" s="347"/>
      <c r="E6" s="347"/>
      <c r="F6" s="347"/>
    </row>
    <row r="7" spans="1:6" ht="17.100000000000001" customHeight="1" thickBot="1">
      <c r="A7" s="165"/>
      <c r="B7" s="133"/>
      <c r="C7" s="133"/>
      <c r="D7" s="133"/>
      <c r="E7" s="133"/>
      <c r="F7" s="133"/>
    </row>
    <row r="8" spans="1:6" ht="35.25" customHeight="1" thickBot="1">
      <c r="A8" s="141" t="s">
        <v>4</v>
      </c>
      <c r="B8" s="142" t="s">
        <v>187</v>
      </c>
      <c r="C8" s="142" t="s">
        <v>330</v>
      </c>
      <c r="D8" s="142" t="s">
        <v>450</v>
      </c>
      <c r="E8" s="142" t="s">
        <v>451</v>
      </c>
      <c r="F8" s="142" t="s">
        <v>11</v>
      </c>
    </row>
    <row r="9" spans="1:6" ht="18.75" customHeight="1">
      <c r="A9" s="361">
        <v>1</v>
      </c>
      <c r="B9" s="200" t="s">
        <v>489</v>
      </c>
      <c r="C9" s="361" t="s">
        <v>500</v>
      </c>
      <c r="D9" s="361">
        <v>78</v>
      </c>
      <c r="E9" s="361">
        <v>9</v>
      </c>
      <c r="F9" s="366"/>
    </row>
    <row r="10" spans="1:6" ht="21.75" customHeight="1" thickBot="1">
      <c r="A10" s="363"/>
      <c r="B10" s="199"/>
      <c r="C10" s="363"/>
      <c r="D10" s="363"/>
      <c r="E10" s="363"/>
      <c r="F10" s="367"/>
    </row>
    <row r="11" spans="1:6" ht="17.100000000000001" customHeight="1">
      <c r="A11" s="361">
        <v>2</v>
      </c>
      <c r="B11" s="168" t="s">
        <v>232</v>
      </c>
      <c r="C11" s="361" t="s">
        <v>505</v>
      </c>
      <c r="D11" s="361">
        <v>78</v>
      </c>
      <c r="E11" s="361">
        <v>12</v>
      </c>
      <c r="F11" s="364"/>
    </row>
    <row r="12" spans="1:6" ht="17.100000000000001" customHeight="1" thickBot="1">
      <c r="A12" s="363"/>
      <c r="B12" s="169" t="s">
        <v>234</v>
      </c>
      <c r="C12" s="363"/>
      <c r="D12" s="362"/>
      <c r="E12" s="363"/>
      <c r="F12" s="365"/>
    </row>
    <row r="13" spans="1:6" ht="17.100000000000001" customHeight="1">
      <c r="A13" s="361">
        <v>3</v>
      </c>
      <c r="B13" s="168" t="s">
        <v>501</v>
      </c>
      <c r="C13" s="361" t="s">
        <v>502</v>
      </c>
      <c r="D13" s="361">
        <v>78</v>
      </c>
      <c r="E13" s="361">
        <v>9</v>
      </c>
      <c r="F13" s="361"/>
    </row>
    <row r="14" spans="1:6" ht="17.100000000000001" customHeight="1" thickBot="1">
      <c r="A14" s="363"/>
      <c r="B14" s="169"/>
      <c r="C14" s="363"/>
      <c r="D14" s="362"/>
      <c r="E14" s="363"/>
      <c r="F14" s="363"/>
    </row>
    <row r="15" spans="1:6" ht="17.100000000000001" customHeight="1">
      <c r="A15" s="361">
        <v>4</v>
      </c>
      <c r="B15" s="168" t="s">
        <v>452</v>
      </c>
      <c r="C15" s="371" t="s">
        <v>503</v>
      </c>
      <c r="D15" s="371">
        <v>78</v>
      </c>
      <c r="E15" s="371">
        <v>9</v>
      </c>
      <c r="F15" s="170"/>
    </row>
    <row r="16" spans="1:6" ht="17.100000000000001" customHeight="1" thickBot="1">
      <c r="A16" s="363"/>
      <c r="B16" s="168" t="s">
        <v>269</v>
      </c>
      <c r="C16" s="363"/>
      <c r="D16" s="362"/>
      <c r="E16" s="363"/>
      <c r="F16" s="170"/>
    </row>
    <row r="17" spans="1:6" ht="17.100000000000001" customHeight="1">
      <c r="A17" s="361">
        <v>5</v>
      </c>
      <c r="B17" s="201" t="s">
        <v>453</v>
      </c>
      <c r="C17" s="361" t="s">
        <v>504</v>
      </c>
      <c r="D17" s="361">
        <v>78</v>
      </c>
      <c r="E17" s="361">
        <v>9</v>
      </c>
      <c r="F17" s="361" t="s">
        <v>155</v>
      </c>
    </row>
    <row r="18" spans="1:6" ht="17.100000000000001" customHeight="1" thickBot="1">
      <c r="A18" s="363"/>
      <c r="B18" s="169" t="s">
        <v>291</v>
      </c>
      <c r="C18" s="363"/>
      <c r="D18" s="362"/>
      <c r="E18" s="363"/>
      <c r="F18" s="363"/>
    </row>
    <row r="19" spans="1:6" ht="28.5" customHeight="1" thickBot="1">
      <c r="A19" s="368" t="s">
        <v>325</v>
      </c>
      <c r="B19" s="369"/>
      <c r="C19" s="370"/>
      <c r="D19" s="172">
        <f>SUM(D11:D18)</f>
        <v>312</v>
      </c>
      <c r="E19" s="172">
        <f>SUM(E11:E18)</f>
        <v>39</v>
      </c>
      <c r="F19" s="171"/>
    </row>
    <row r="20" spans="1:6" ht="14.25" customHeight="1">
      <c r="A20" s="173"/>
      <c r="B20" s="173"/>
      <c r="C20" s="173"/>
      <c r="D20" s="174"/>
      <c r="E20" s="173"/>
      <c r="F20" s="174"/>
    </row>
    <row r="21" spans="1:6" ht="14.25" customHeight="1">
      <c r="A21" s="173"/>
      <c r="B21" s="173"/>
      <c r="C21" s="173"/>
      <c r="D21" s="174" t="s">
        <v>490</v>
      </c>
      <c r="E21" s="173"/>
      <c r="F21" s="174"/>
    </row>
    <row r="22" spans="1:6" ht="17.100000000000001" customHeight="1">
      <c r="A22" s="133"/>
      <c r="B22" s="133"/>
      <c r="C22" s="133"/>
      <c r="D22" s="140" t="s">
        <v>177</v>
      </c>
      <c r="E22" s="133"/>
      <c r="F22" s="133"/>
    </row>
    <row r="23" spans="1:6" ht="17.100000000000001" customHeight="1">
      <c r="A23" s="133"/>
      <c r="B23" s="133"/>
      <c r="C23" s="133"/>
      <c r="D23" s="133"/>
      <c r="E23" s="133"/>
      <c r="F23" s="133"/>
    </row>
    <row r="24" spans="1:6" ht="17.100000000000001" customHeight="1">
      <c r="A24" s="133"/>
      <c r="B24" s="133"/>
      <c r="C24" s="133"/>
      <c r="D24" s="133"/>
      <c r="E24" s="133"/>
      <c r="F24" s="133"/>
    </row>
    <row r="25" spans="1:6" ht="17.100000000000001" customHeight="1">
      <c r="A25" s="133"/>
      <c r="B25" s="133"/>
      <c r="C25" s="133"/>
      <c r="D25" s="133" t="s">
        <v>307</v>
      </c>
      <c r="E25" s="133"/>
      <c r="F25" s="133"/>
    </row>
    <row r="26" spans="1:6" ht="17.100000000000001" customHeight="1">
      <c r="A26" s="133"/>
      <c r="B26" s="133"/>
      <c r="C26" s="133"/>
      <c r="D26" s="133" t="s">
        <v>179</v>
      </c>
      <c r="E26" s="133"/>
      <c r="F26" s="133"/>
    </row>
    <row r="27" spans="1:6" ht="17.100000000000001" customHeight="1">
      <c r="A27" s="133"/>
      <c r="B27" s="133"/>
      <c r="C27" s="133"/>
      <c r="D27" s="133" t="s">
        <v>308</v>
      </c>
      <c r="E27" s="133"/>
      <c r="F27" s="133"/>
    </row>
    <row r="28" spans="1:6" ht="17.100000000000001" customHeight="1">
      <c r="A28" s="133"/>
      <c r="B28" s="133"/>
      <c r="C28" s="133"/>
      <c r="D28" s="133"/>
      <c r="E28" s="133"/>
      <c r="F28" s="133"/>
    </row>
  </sheetData>
  <mergeCells count="26">
    <mergeCell ref="A19:C19"/>
    <mergeCell ref="F17:F18"/>
    <mergeCell ref="D15:D16"/>
    <mergeCell ref="D17:D18"/>
    <mergeCell ref="C15:C16"/>
    <mergeCell ref="C17:C18"/>
    <mergeCell ref="E15:E16"/>
    <mergeCell ref="E17:E18"/>
    <mergeCell ref="A15:A16"/>
    <mergeCell ref="A17:A18"/>
    <mergeCell ref="D13:D14"/>
    <mergeCell ref="E13:E14"/>
    <mergeCell ref="F13:F14"/>
    <mergeCell ref="A13:A14"/>
    <mergeCell ref="A6:F6"/>
    <mergeCell ref="A11:A12"/>
    <mergeCell ref="C11:C12"/>
    <mergeCell ref="D11:D12"/>
    <mergeCell ref="E11:E12"/>
    <mergeCell ref="F11:F12"/>
    <mergeCell ref="D9:D10"/>
    <mergeCell ref="E9:E10"/>
    <mergeCell ref="F9:F10"/>
    <mergeCell ref="A9:A10"/>
    <mergeCell ref="C9:C10"/>
    <mergeCell ref="C13:C14"/>
  </mergeCells>
  <pageMargins left="0.79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6"/>
  <sheetViews>
    <sheetView view="pageBreakPreview" topLeftCell="A4" zoomScaleSheetLayoutView="100" workbookViewId="0">
      <selection activeCell="F13" sqref="F13"/>
    </sheetView>
  </sheetViews>
  <sheetFormatPr defaultRowHeight="15"/>
  <cols>
    <col min="1" max="1" width="3.28515625" customWidth="1"/>
    <col min="2" max="2" width="10.140625" customWidth="1"/>
    <col min="3" max="3" width="13.5703125" customWidth="1"/>
    <col min="6" max="6" width="7.7109375" customWidth="1"/>
    <col min="7" max="7" width="3.140625" customWidth="1"/>
    <col min="10" max="10" width="9.140625" customWidth="1"/>
  </cols>
  <sheetData>
    <row r="1" spans="1:10" ht="15.75">
      <c r="A1" s="72" t="s">
        <v>532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15.75">
      <c r="A2" s="42"/>
      <c r="B2" s="42"/>
      <c r="C2" s="42"/>
      <c r="D2" s="42"/>
      <c r="E2" s="42"/>
      <c r="F2" s="42"/>
      <c r="G2" s="42"/>
      <c r="H2" s="42"/>
      <c r="I2" s="42"/>
      <c r="J2" s="42"/>
    </row>
    <row r="3" spans="1:10" ht="24.95" customHeight="1">
      <c r="A3" s="214">
        <v>1</v>
      </c>
      <c r="B3" s="42" t="s">
        <v>515</v>
      </c>
      <c r="C3" s="42"/>
      <c r="D3" s="42" t="s">
        <v>553</v>
      </c>
      <c r="E3" s="42"/>
      <c r="F3" s="42"/>
      <c r="G3" s="214">
        <v>8</v>
      </c>
      <c r="H3" s="42" t="s">
        <v>522</v>
      </c>
      <c r="I3" s="42"/>
      <c r="J3" s="42"/>
    </row>
    <row r="4" spans="1:10" ht="24.95" customHeight="1">
      <c r="A4" s="214">
        <v>2</v>
      </c>
      <c r="B4" s="42" t="s">
        <v>533</v>
      </c>
      <c r="C4" s="42"/>
      <c r="D4" s="42" t="s">
        <v>554</v>
      </c>
      <c r="E4" s="42"/>
      <c r="F4" s="42"/>
      <c r="G4" s="42"/>
      <c r="H4" s="42" t="s">
        <v>536</v>
      </c>
      <c r="I4" s="42"/>
      <c r="J4" s="42"/>
    </row>
    <row r="5" spans="1:10" ht="24.95" customHeight="1">
      <c r="A5" s="214">
        <v>3</v>
      </c>
      <c r="B5" s="42" t="s">
        <v>534</v>
      </c>
      <c r="C5" s="42"/>
      <c r="D5" s="42" t="s">
        <v>555</v>
      </c>
      <c r="E5" s="42"/>
      <c r="F5" s="42"/>
      <c r="G5" s="42"/>
      <c r="H5" s="42" t="s">
        <v>537</v>
      </c>
      <c r="I5" s="42"/>
      <c r="J5" s="42"/>
    </row>
    <row r="6" spans="1:10" ht="24.95" customHeight="1">
      <c r="A6" s="214">
        <v>4</v>
      </c>
      <c r="B6" s="42" t="s">
        <v>535</v>
      </c>
      <c r="C6" s="42"/>
      <c r="D6" s="42" t="s">
        <v>556</v>
      </c>
      <c r="E6" s="42"/>
      <c r="F6" s="42"/>
      <c r="G6" s="42"/>
      <c r="H6" s="42" t="s">
        <v>538</v>
      </c>
      <c r="I6" s="42"/>
      <c r="J6" s="42"/>
    </row>
    <row r="7" spans="1:10" ht="24.95" customHeight="1">
      <c r="A7" s="214">
        <v>5</v>
      </c>
      <c r="B7" s="42" t="s">
        <v>525</v>
      </c>
      <c r="C7" s="42"/>
      <c r="D7" s="42" t="s">
        <v>552</v>
      </c>
      <c r="E7" s="42"/>
      <c r="F7" s="42"/>
      <c r="G7" s="42"/>
      <c r="H7" s="42" t="s">
        <v>539</v>
      </c>
      <c r="I7" s="42"/>
      <c r="J7" s="42"/>
    </row>
    <row r="8" spans="1:10" ht="24.95" customHeight="1">
      <c r="A8" s="214"/>
      <c r="B8" s="42"/>
      <c r="C8" s="42"/>
      <c r="D8" s="42" t="s">
        <v>557</v>
      </c>
      <c r="E8" s="42"/>
      <c r="F8" s="42"/>
      <c r="G8" s="214">
        <v>9</v>
      </c>
      <c r="H8" s="42" t="s">
        <v>547</v>
      </c>
      <c r="I8" s="42"/>
      <c r="J8" s="42"/>
    </row>
    <row r="9" spans="1:10" ht="24.95" customHeight="1">
      <c r="A9" s="214">
        <v>6</v>
      </c>
      <c r="B9" s="42" t="s">
        <v>540</v>
      </c>
      <c r="C9" s="42"/>
      <c r="D9" s="42"/>
      <c r="E9" s="42"/>
      <c r="F9" s="42"/>
      <c r="H9" s="42" t="s">
        <v>550</v>
      </c>
      <c r="I9" s="42"/>
      <c r="J9" s="42"/>
    </row>
    <row r="10" spans="1:10" ht="24.95" customHeight="1">
      <c r="A10" s="214"/>
      <c r="B10" s="42" t="s">
        <v>541</v>
      </c>
      <c r="C10" s="42"/>
      <c r="D10" s="42"/>
      <c r="E10" s="42"/>
      <c r="F10" s="42"/>
      <c r="G10" s="42"/>
      <c r="H10" s="42" t="s">
        <v>548</v>
      </c>
      <c r="I10" s="42"/>
      <c r="J10" s="42"/>
    </row>
    <row r="11" spans="1:10" ht="24.95" customHeight="1">
      <c r="A11" s="214"/>
      <c r="B11" s="42" t="s">
        <v>542</v>
      </c>
      <c r="C11" s="42"/>
      <c r="D11" s="42"/>
      <c r="E11" s="42"/>
      <c r="F11" s="42"/>
      <c r="G11" s="42"/>
      <c r="H11" s="42" t="s">
        <v>549</v>
      </c>
      <c r="I11" s="42"/>
      <c r="J11" s="42"/>
    </row>
    <row r="12" spans="1:10" ht="24.95" customHeight="1">
      <c r="A12" s="214"/>
      <c r="B12" s="42" t="s">
        <v>543</v>
      </c>
      <c r="C12" s="42"/>
      <c r="D12" s="42"/>
      <c r="E12" s="42"/>
      <c r="F12" s="42"/>
      <c r="G12" s="42">
        <v>9</v>
      </c>
      <c r="H12" s="42" t="s">
        <v>196</v>
      </c>
      <c r="I12" s="42"/>
      <c r="J12" s="42"/>
    </row>
    <row r="13" spans="1:10" ht="24.95" customHeight="1">
      <c r="A13" s="214"/>
      <c r="B13" s="42" t="s">
        <v>544</v>
      </c>
      <c r="C13" s="42"/>
      <c r="D13" s="42"/>
      <c r="E13" s="42"/>
      <c r="F13" s="42"/>
      <c r="G13" s="42">
        <v>10</v>
      </c>
      <c r="H13" s="42" t="s">
        <v>551</v>
      </c>
      <c r="I13" s="42"/>
      <c r="J13" s="42"/>
    </row>
    <row r="14" spans="1:10" ht="24.95" customHeight="1">
      <c r="A14" s="214"/>
      <c r="B14" s="42" t="s">
        <v>582</v>
      </c>
      <c r="C14" s="42"/>
      <c r="D14" s="42"/>
      <c r="E14" s="42"/>
      <c r="F14" s="42"/>
      <c r="I14" s="42"/>
      <c r="J14" s="42"/>
    </row>
    <row r="15" spans="1:10" ht="24.95" customHeight="1">
      <c r="A15" s="214"/>
      <c r="B15" s="42" t="s">
        <v>545</v>
      </c>
      <c r="C15" s="42"/>
      <c r="D15" s="42"/>
      <c r="E15" s="42"/>
      <c r="F15" s="42"/>
      <c r="G15" s="42"/>
      <c r="H15" s="42"/>
      <c r="I15" s="42"/>
      <c r="J15" s="42"/>
    </row>
    <row r="16" spans="1:10" ht="24.95" customHeight="1">
      <c r="A16" s="214"/>
      <c r="B16" s="42" t="s">
        <v>546</v>
      </c>
      <c r="C16" s="42"/>
      <c r="D16" s="42"/>
      <c r="E16" s="42"/>
      <c r="F16" s="42"/>
      <c r="G16" s="42"/>
      <c r="H16" s="42"/>
      <c r="I16" s="42"/>
      <c r="J16" s="42"/>
    </row>
    <row r="17" spans="1:14" ht="24.95" customHeight="1">
      <c r="A17" s="214">
        <v>7</v>
      </c>
      <c r="B17" s="42" t="s">
        <v>410</v>
      </c>
      <c r="C17" s="42"/>
      <c r="D17" s="42" t="s">
        <v>552</v>
      </c>
      <c r="E17" s="42"/>
      <c r="F17" s="42"/>
      <c r="G17" s="42"/>
      <c r="H17" s="42"/>
      <c r="I17" s="42"/>
      <c r="J17" s="42"/>
    </row>
    <row r="18" spans="1:14" ht="24.95" customHeight="1"/>
    <row r="19" spans="1:14" ht="24.95" customHeight="1"/>
    <row r="20" spans="1:14" ht="15" customHeight="1">
      <c r="G20" s="42" t="s">
        <v>481</v>
      </c>
      <c r="H20" s="300"/>
      <c r="I20" s="42"/>
      <c r="J20" s="42"/>
      <c r="K20" s="1"/>
      <c r="L20" s="1"/>
      <c r="M20" s="1"/>
      <c r="N20" s="1"/>
    </row>
    <row r="21" spans="1:14" ht="15" customHeight="1">
      <c r="G21" s="42" t="s">
        <v>177</v>
      </c>
      <c r="H21" s="300"/>
      <c r="I21" s="42"/>
      <c r="J21" s="42"/>
      <c r="K21" s="1"/>
      <c r="L21" s="1"/>
      <c r="M21" s="1"/>
      <c r="N21" s="1"/>
    </row>
    <row r="22" spans="1:14" ht="15" customHeight="1">
      <c r="G22" s="42"/>
      <c r="H22" s="300"/>
      <c r="I22" s="42"/>
      <c r="J22" s="42"/>
      <c r="K22" s="1"/>
      <c r="L22" s="1"/>
      <c r="M22" s="1"/>
      <c r="N22" s="1"/>
    </row>
    <row r="23" spans="1:14" ht="15" customHeight="1">
      <c r="G23" s="42"/>
      <c r="H23" s="300"/>
      <c r="I23" s="42"/>
      <c r="J23" s="42"/>
      <c r="K23" s="1"/>
      <c r="L23" s="1"/>
      <c r="M23" s="1"/>
      <c r="N23" s="1"/>
    </row>
    <row r="24" spans="1:14" ht="15" customHeight="1">
      <c r="G24" s="42" t="s">
        <v>178</v>
      </c>
      <c r="H24" s="300"/>
      <c r="I24" s="42"/>
      <c r="J24" s="42"/>
      <c r="K24" s="1"/>
      <c r="L24" s="1"/>
      <c r="M24" s="1"/>
      <c r="N24" s="1"/>
    </row>
    <row r="25" spans="1:14" ht="15" customHeight="1">
      <c r="G25" s="42" t="s">
        <v>179</v>
      </c>
      <c r="H25" s="300"/>
      <c r="I25" s="42"/>
      <c r="J25" s="42"/>
      <c r="K25" s="1"/>
      <c r="L25" s="1"/>
      <c r="M25" s="1"/>
      <c r="N25" s="1"/>
    </row>
    <row r="26" spans="1:14" ht="15" customHeight="1">
      <c r="G26" s="42" t="s">
        <v>180</v>
      </c>
      <c r="H26" s="300"/>
      <c r="I26" s="42"/>
      <c r="J26" s="42"/>
      <c r="K26" s="1"/>
      <c r="L26" s="1"/>
      <c r="M26" s="1"/>
      <c r="N26" s="1"/>
    </row>
  </sheetData>
  <pageMargins left="0.7" right="0.7" top="0.75" bottom="0.75" header="0.3" footer="0.3"/>
  <pageSetup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48"/>
  <sheetViews>
    <sheetView tabSelected="1" view="pageBreakPreview" topLeftCell="A22" zoomScaleSheetLayoutView="100" workbookViewId="0">
      <selection activeCell="H26" sqref="H26"/>
    </sheetView>
  </sheetViews>
  <sheetFormatPr defaultRowHeight="15"/>
  <cols>
    <col min="1" max="1" width="14.42578125" customWidth="1"/>
    <col min="2" max="2" width="3.42578125" customWidth="1"/>
    <col min="10" max="10" width="24.42578125" customWidth="1"/>
  </cols>
  <sheetData>
    <row r="1" spans="1:10" ht="18.75">
      <c r="A1" s="372" t="s">
        <v>583</v>
      </c>
      <c r="B1" s="372"/>
      <c r="C1" s="372"/>
      <c r="D1" s="372"/>
      <c r="E1" s="372"/>
      <c r="F1" s="372"/>
      <c r="G1" s="372"/>
      <c r="H1" s="372"/>
      <c r="I1" s="372"/>
      <c r="J1" s="372"/>
    </row>
    <row r="2" spans="1:10" ht="20.25">
      <c r="A2" s="373" t="s">
        <v>584</v>
      </c>
      <c r="B2" s="373"/>
      <c r="C2" s="373"/>
      <c r="D2" s="373"/>
      <c r="E2" s="373"/>
      <c r="F2" s="373"/>
      <c r="G2" s="373"/>
      <c r="H2" s="373"/>
      <c r="I2" s="373"/>
      <c r="J2" s="373"/>
    </row>
    <row r="3" spans="1:10" ht="20.25">
      <c r="A3" s="374" t="s">
        <v>585</v>
      </c>
      <c r="B3" s="374"/>
      <c r="C3" s="374"/>
      <c r="D3" s="374"/>
      <c r="E3" s="374"/>
      <c r="F3" s="374"/>
      <c r="G3" s="374"/>
      <c r="H3" s="374"/>
      <c r="I3" s="374"/>
      <c r="J3" s="374"/>
    </row>
    <row r="4" spans="1:10" ht="15.75">
      <c r="A4" s="375" t="s">
        <v>586</v>
      </c>
      <c r="B4" s="375"/>
      <c r="C4" s="375"/>
      <c r="D4" s="375"/>
      <c r="E4" s="375"/>
      <c r="F4" s="375"/>
      <c r="G4" s="375"/>
      <c r="H4" s="375"/>
      <c r="I4" s="375"/>
      <c r="J4" s="375"/>
    </row>
    <row r="5" spans="1:10" ht="15.75">
      <c r="A5" s="285"/>
    </row>
    <row r="6" spans="1:10" ht="18.75">
      <c r="A6" s="372" t="s">
        <v>587</v>
      </c>
      <c r="B6" s="372"/>
      <c r="C6" s="372"/>
      <c r="D6" s="372"/>
      <c r="E6" s="372"/>
      <c r="F6" s="372"/>
      <c r="G6" s="372"/>
      <c r="H6" s="372"/>
      <c r="I6" s="372"/>
      <c r="J6" s="372"/>
    </row>
    <row r="7" spans="1:10" ht="18.75">
      <c r="A7" s="372" t="s">
        <v>588</v>
      </c>
      <c r="B7" s="372"/>
      <c r="C7" s="372"/>
      <c r="D7" s="372"/>
      <c r="E7" s="372"/>
      <c r="F7" s="372"/>
      <c r="G7" s="372"/>
      <c r="H7" s="372"/>
      <c r="I7" s="372"/>
      <c r="J7" s="372"/>
    </row>
    <row r="8" spans="1:10" ht="10.5" customHeight="1">
      <c r="A8" s="303"/>
      <c r="B8" s="304"/>
      <c r="C8" s="304"/>
      <c r="D8" s="304"/>
      <c r="E8" s="304"/>
      <c r="F8" s="304"/>
      <c r="G8" s="304"/>
      <c r="H8" s="304"/>
      <c r="I8" s="304"/>
      <c r="J8" s="304"/>
    </row>
    <row r="9" spans="1:10" ht="18.75">
      <c r="A9" s="372" t="s">
        <v>589</v>
      </c>
      <c r="B9" s="372"/>
      <c r="C9" s="372"/>
      <c r="D9" s="372"/>
      <c r="E9" s="372"/>
      <c r="F9" s="372"/>
      <c r="G9" s="372"/>
      <c r="H9" s="372"/>
      <c r="I9" s="372"/>
      <c r="J9" s="372"/>
    </row>
    <row r="10" spans="1:10" ht="18.75">
      <c r="A10" s="373" t="s">
        <v>590</v>
      </c>
      <c r="B10" s="373"/>
      <c r="C10" s="373"/>
      <c r="D10" s="373"/>
      <c r="E10" s="373"/>
      <c r="F10" s="373"/>
      <c r="G10" s="373"/>
      <c r="H10" s="373"/>
      <c r="I10" s="373"/>
      <c r="J10" s="373"/>
    </row>
    <row r="11" spans="1:10" ht="18.75">
      <c r="A11" s="373" t="s">
        <v>591</v>
      </c>
      <c r="B11" s="373"/>
      <c r="C11" s="373"/>
      <c r="D11" s="373"/>
      <c r="E11" s="373"/>
      <c r="F11" s="373"/>
      <c r="G11" s="373"/>
      <c r="H11" s="373"/>
      <c r="I11" s="373"/>
      <c r="J11" s="373"/>
    </row>
    <row r="12" spans="1:10" ht="18.75">
      <c r="A12" s="373" t="s">
        <v>470</v>
      </c>
      <c r="B12" s="373"/>
      <c r="C12" s="373"/>
      <c r="D12" s="373"/>
      <c r="E12" s="373"/>
      <c r="F12" s="373"/>
      <c r="G12" s="373"/>
      <c r="H12" s="373"/>
      <c r="I12" s="373"/>
      <c r="J12" s="373"/>
    </row>
    <row r="13" spans="1:10" ht="6.75" customHeight="1">
      <c r="A13" s="303"/>
      <c r="B13" s="304"/>
      <c r="C13" s="304"/>
      <c r="D13" s="304"/>
      <c r="E13" s="304"/>
      <c r="F13" s="304"/>
      <c r="G13" s="304"/>
      <c r="H13" s="304"/>
      <c r="I13" s="304"/>
      <c r="J13" s="304"/>
    </row>
    <row r="14" spans="1:10" ht="18.75">
      <c r="A14" s="372" t="s">
        <v>592</v>
      </c>
      <c r="B14" s="372"/>
      <c r="C14" s="372"/>
      <c r="D14" s="372"/>
      <c r="E14" s="372"/>
      <c r="F14" s="372"/>
      <c r="G14" s="372"/>
      <c r="H14" s="372"/>
      <c r="I14" s="372"/>
      <c r="J14" s="372"/>
    </row>
    <row r="15" spans="1:10" ht="18.75">
      <c r="A15" s="372" t="s">
        <v>593</v>
      </c>
      <c r="B15" s="372"/>
      <c r="C15" s="372"/>
      <c r="D15" s="372"/>
      <c r="E15" s="372"/>
      <c r="F15" s="372"/>
      <c r="G15" s="372"/>
      <c r="H15" s="372"/>
      <c r="I15" s="372"/>
      <c r="J15" s="372"/>
    </row>
    <row r="16" spans="1:10" ht="18.75">
      <c r="A16" s="372" t="s">
        <v>594</v>
      </c>
      <c r="B16" s="372"/>
      <c r="C16" s="372"/>
      <c r="D16" s="372"/>
      <c r="E16" s="372"/>
      <c r="F16" s="372"/>
      <c r="G16" s="372"/>
      <c r="H16" s="372"/>
      <c r="I16" s="372"/>
      <c r="J16" s="372"/>
    </row>
    <row r="17" spans="1:10" ht="10.5" customHeight="1">
      <c r="A17" s="304"/>
      <c r="B17" s="304"/>
      <c r="C17" s="304"/>
      <c r="D17" s="304"/>
      <c r="E17" s="304"/>
      <c r="F17" s="304"/>
      <c r="G17" s="304"/>
      <c r="H17" s="304"/>
      <c r="I17" s="304"/>
      <c r="J17" s="304"/>
    </row>
    <row r="18" spans="1:10" ht="18.75">
      <c r="A18" s="301" t="s">
        <v>595</v>
      </c>
      <c r="B18" s="301" t="s">
        <v>596</v>
      </c>
      <c r="C18" s="376" t="s">
        <v>632</v>
      </c>
      <c r="D18" s="376"/>
      <c r="E18" s="376"/>
      <c r="F18" s="376"/>
      <c r="G18" s="376"/>
      <c r="H18" s="376"/>
      <c r="I18" s="376"/>
      <c r="J18" s="376"/>
    </row>
    <row r="19" spans="1:10" ht="18.75">
      <c r="A19" s="301"/>
      <c r="B19" s="301"/>
      <c r="C19" s="376" t="s">
        <v>627</v>
      </c>
      <c r="D19" s="376"/>
      <c r="E19" s="376"/>
      <c r="F19" s="376"/>
      <c r="G19" s="376"/>
      <c r="H19" s="376"/>
      <c r="I19" s="376"/>
      <c r="J19" s="376"/>
    </row>
    <row r="20" spans="1:10" ht="18.75">
      <c r="A20" s="301"/>
      <c r="B20" s="301" t="s">
        <v>597</v>
      </c>
      <c r="C20" s="376" t="s">
        <v>628</v>
      </c>
      <c r="D20" s="376"/>
      <c r="E20" s="376"/>
      <c r="F20" s="376"/>
      <c r="G20" s="376"/>
      <c r="H20" s="376"/>
      <c r="I20" s="376"/>
      <c r="J20" s="376"/>
    </row>
    <row r="21" spans="1:10" ht="18.75">
      <c r="A21" s="301"/>
      <c r="B21" s="301"/>
      <c r="C21" s="376" t="s">
        <v>629</v>
      </c>
      <c r="D21" s="376"/>
      <c r="E21" s="376"/>
      <c r="F21" s="376"/>
      <c r="G21" s="376"/>
      <c r="H21" s="376"/>
      <c r="I21" s="376"/>
      <c r="J21" s="376"/>
    </row>
    <row r="22" spans="1:10" ht="11.25" customHeight="1">
      <c r="A22" s="301"/>
      <c r="B22" s="301"/>
      <c r="C22" s="301"/>
      <c r="D22" s="301"/>
      <c r="E22" s="301"/>
      <c r="F22" s="301"/>
      <c r="G22" s="301"/>
      <c r="H22" s="301"/>
      <c r="I22" s="301"/>
      <c r="J22" s="301"/>
    </row>
    <row r="23" spans="1:10" ht="18.75">
      <c r="A23" s="301" t="s">
        <v>598</v>
      </c>
      <c r="B23" s="301" t="s">
        <v>599</v>
      </c>
      <c r="C23" s="301" t="s">
        <v>602</v>
      </c>
      <c r="D23" s="301"/>
      <c r="E23" s="301"/>
      <c r="F23" s="301"/>
      <c r="G23" s="301"/>
      <c r="H23" s="301"/>
      <c r="I23" s="301"/>
      <c r="J23" s="301"/>
    </row>
    <row r="24" spans="1:10" ht="18.75">
      <c r="A24" s="301"/>
      <c r="B24" s="301" t="s">
        <v>600</v>
      </c>
      <c r="C24" s="301" t="s">
        <v>603</v>
      </c>
      <c r="D24" s="301"/>
      <c r="E24" s="301"/>
      <c r="F24" s="301"/>
      <c r="G24" s="301"/>
      <c r="H24" s="301"/>
      <c r="I24" s="301"/>
      <c r="J24" s="301"/>
    </row>
    <row r="25" spans="1:10" ht="18.75">
      <c r="A25" s="301"/>
      <c r="B25" s="301" t="s">
        <v>601</v>
      </c>
      <c r="C25" s="301" t="s">
        <v>604</v>
      </c>
      <c r="D25" s="301"/>
      <c r="E25" s="301"/>
      <c r="F25" s="301"/>
      <c r="G25" s="301"/>
      <c r="H25" s="301"/>
      <c r="I25" s="301"/>
      <c r="J25" s="301"/>
    </row>
    <row r="26" spans="1:10" ht="18.75">
      <c r="A26" s="301"/>
      <c r="B26" s="301" t="s">
        <v>611</v>
      </c>
      <c r="C26" s="301" t="s">
        <v>605</v>
      </c>
      <c r="D26" s="301"/>
      <c r="E26" s="301"/>
      <c r="F26" s="301"/>
      <c r="G26" s="301"/>
      <c r="H26" s="301"/>
      <c r="I26" s="301"/>
      <c r="J26" s="301"/>
    </row>
    <row r="27" spans="1:10" ht="18.75">
      <c r="A27" s="301"/>
      <c r="B27" s="301" t="s">
        <v>612</v>
      </c>
      <c r="C27" s="301" t="s">
        <v>606</v>
      </c>
      <c r="D27" s="301"/>
      <c r="E27" s="301"/>
      <c r="F27" s="301"/>
      <c r="G27" s="301"/>
      <c r="H27" s="301"/>
      <c r="I27" s="301"/>
      <c r="J27" s="301"/>
    </row>
    <row r="28" spans="1:10" ht="6" customHeight="1">
      <c r="A28" s="301"/>
      <c r="B28" s="301"/>
      <c r="C28" s="301"/>
      <c r="D28" s="301"/>
      <c r="E28" s="301"/>
      <c r="F28" s="301"/>
      <c r="G28" s="301"/>
      <c r="H28" s="301"/>
      <c r="I28" s="301"/>
      <c r="J28" s="301"/>
    </row>
    <row r="29" spans="1:10" ht="18.75">
      <c r="A29" s="373" t="s">
        <v>607</v>
      </c>
      <c r="B29" s="373"/>
      <c r="C29" s="373"/>
      <c r="D29" s="373"/>
      <c r="E29" s="373"/>
      <c r="F29" s="373"/>
      <c r="G29" s="373"/>
      <c r="H29" s="373"/>
      <c r="I29" s="373"/>
      <c r="J29" s="373"/>
    </row>
    <row r="30" spans="1:10" ht="18.75">
      <c r="A30" s="301" t="s">
        <v>608</v>
      </c>
      <c r="B30" s="301" t="s">
        <v>609</v>
      </c>
      <c r="C30" s="301"/>
      <c r="D30" s="301"/>
      <c r="E30" s="301"/>
      <c r="F30" s="301"/>
      <c r="G30" s="301"/>
      <c r="H30" s="301"/>
      <c r="I30" s="301"/>
      <c r="J30" s="301"/>
    </row>
    <row r="31" spans="1:10" ht="18.75">
      <c r="A31" s="301" t="s">
        <v>610</v>
      </c>
      <c r="B31" s="301" t="s">
        <v>609</v>
      </c>
      <c r="C31" s="376" t="s">
        <v>613</v>
      </c>
      <c r="D31" s="376"/>
      <c r="E31" s="376"/>
      <c r="F31" s="376"/>
      <c r="G31" s="376"/>
      <c r="H31" s="376"/>
      <c r="I31" s="376"/>
      <c r="J31" s="376"/>
    </row>
    <row r="32" spans="1:10" ht="18.75">
      <c r="A32" s="301"/>
      <c r="B32" s="301"/>
      <c r="C32" s="376" t="s">
        <v>614</v>
      </c>
      <c r="D32" s="376"/>
      <c r="E32" s="376"/>
      <c r="F32" s="376"/>
      <c r="G32" s="376"/>
      <c r="H32" s="376"/>
      <c r="I32" s="376"/>
      <c r="J32" s="376"/>
    </row>
    <row r="33" spans="1:15" ht="18.75">
      <c r="A33" s="301"/>
      <c r="B33" s="301"/>
      <c r="C33" s="376" t="s">
        <v>615</v>
      </c>
      <c r="D33" s="376"/>
      <c r="E33" s="376"/>
      <c r="F33" s="376"/>
      <c r="G33" s="376"/>
      <c r="H33" s="376"/>
      <c r="I33" s="376"/>
      <c r="J33" s="376"/>
    </row>
    <row r="34" spans="1:15" ht="18.75">
      <c r="A34" s="301" t="s">
        <v>616</v>
      </c>
      <c r="B34" s="301" t="s">
        <v>609</v>
      </c>
      <c r="C34" s="376" t="s">
        <v>630</v>
      </c>
      <c r="D34" s="376"/>
      <c r="E34" s="376"/>
      <c r="F34" s="376"/>
      <c r="G34" s="376"/>
      <c r="H34" s="376"/>
      <c r="I34" s="376"/>
      <c r="J34" s="376"/>
    </row>
    <row r="35" spans="1:15" ht="18.75">
      <c r="A35" s="301"/>
      <c r="B35" s="301"/>
      <c r="C35" s="376" t="s">
        <v>631</v>
      </c>
      <c r="D35" s="376"/>
      <c r="E35" s="376"/>
      <c r="F35" s="376"/>
      <c r="G35" s="376"/>
      <c r="H35" s="376"/>
      <c r="I35" s="376"/>
      <c r="J35" s="376"/>
    </row>
    <row r="36" spans="1:15" ht="18.75">
      <c r="A36" s="301" t="s">
        <v>617</v>
      </c>
      <c r="B36" s="301" t="s">
        <v>609</v>
      </c>
      <c r="C36" s="376" t="s">
        <v>618</v>
      </c>
      <c r="D36" s="376"/>
      <c r="E36" s="376"/>
      <c r="F36" s="376"/>
      <c r="G36" s="376"/>
      <c r="H36" s="376"/>
      <c r="I36" s="376"/>
      <c r="J36" s="376"/>
    </row>
    <row r="37" spans="1:15" ht="18.75">
      <c r="A37" s="301"/>
      <c r="B37" s="301"/>
      <c r="C37" s="376" t="s">
        <v>619</v>
      </c>
      <c r="D37" s="376"/>
      <c r="E37" s="376"/>
      <c r="F37" s="376"/>
      <c r="G37" s="376"/>
      <c r="H37" s="376"/>
      <c r="I37" s="376"/>
      <c r="J37" s="376"/>
    </row>
    <row r="38" spans="1:15" ht="18.75">
      <c r="A38" s="301" t="s">
        <v>624</v>
      </c>
      <c r="B38" s="301" t="s">
        <v>621</v>
      </c>
      <c r="C38" s="376" t="s">
        <v>622</v>
      </c>
      <c r="D38" s="376"/>
      <c r="E38" s="376"/>
      <c r="F38" s="376"/>
      <c r="G38" s="376"/>
      <c r="H38" s="376"/>
      <c r="I38" s="376"/>
      <c r="J38" s="376"/>
    </row>
    <row r="39" spans="1:15" ht="18.75">
      <c r="A39" s="301"/>
      <c r="B39" s="301"/>
      <c r="C39" s="376" t="s">
        <v>623</v>
      </c>
      <c r="D39" s="376"/>
      <c r="E39" s="376"/>
      <c r="F39" s="376"/>
      <c r="G39" s="376"/>
      <c r="H39" s="376"/>
      <c r="I39" s="376"/>
      <c r="J39" s="376"/>
    </row>
    <row r="40" spans="1:15" ht="18.75">
      <c r="A40" s="301" t="s">
        <v>620</v>
      </c>
      <c r="B40" s="301" t="s">
        <v>609</v>
      </c>
      <c r="C40" s="376" t="s">
        <v>625</v>
      </c>
      <c r="D40" s="376"/>
      <c r="E40" s="376"/>
      <c r="F40" s="376"/>
      <c r="G40" s="376"/>
      <c r="H40" s="376"/>
      <c r="I40" s="376"/>
      <c r="J40" s="376"/>
    </row>
    <row r="41" spans="1:15" ht="18.75">
      <c r="A41" s="304"/>
      <c r="B41" s="304"/>
      <c r="C41" s="304"/>
      <c r="D41" s="304"/>
      <c r="E41" s="304"/>
      <c r="F41" s="304"/>
      <c r="G41" s="304"/>
      <c r="H41" s="304"/>
      <c r="I41" s="304"/>
      <c r="J41" s="304"/>
    </row>
    <row r="42" spans="1:15" ht="18.75">
      <c r="A42" s="302"/>
      <c r="B42" s="302"/>
      <c r="C42" s="302"/>
      <c r="D42" s="302"/>
      <c r="E42" s="302"/>
      <c r="F42" s="302"/>
      <c r="G42" s="304" t="s">
        <v>626</v>
      </c>
      <c r="H42" s="304"/>
      <c r="I42" s="305"/>
      <c r="J42" s="305"/>
      <c r="K42" s="1"/>
      <c r="L42" s="1"/>
      <c r="M42" s="1"/>
      <c r="N42" s="1"/>
      <c r="O42" s="1"/>
    </row>
    <row r="43" spans="1:15" ht="18.75">
      <c r="A43" s="302"/>
      <c r="B43" s="302"/>
      <c r="C43" s="302"/>
      <c r="D43" s="302"/>
      <c r="E43" s="302"/>
      <c r="F43" s="302"/>
      <c r="G43" s="304" t="s">
        <v>177</v>
      </c>
      <c r="H43" s="304"/>
      <c r="I43" s="305"/>
      <c r="J43" s="305"/>
      <c r="K43" s="1"/>
      <c r="L43" s="1"/>
      <c r="M43" s="1"/>
      <c r="N43" s="1"/>
      <c r="O43" s="1"/>
    </row>
    <row r="44" spans="1:15" ht="18.75">
      <c r="A44" s="302"/>
      <c r="B44" s="302"/>
      <c r="C44" s="302"/>
      <c r="D44" s="302"/>
      <c r="E44" s="302"/>
      <c r="F44" s="302"/>
      <c r="G44" s="304"/>
      <c r="H44" s="304"/>
      <c r="I44" s="305"/>
      <c r="J44" s="305"/>
      <c r="K44" s="1"/>
      <c r="L44" s="1"/>
      <c r="M44" s="1"/>
      <c r="N44" s="1"/>
      <c r="O44" s="1"/>
    </row>
    <row r="45" spans="1:15" ht="18.75">
      <c r="A45" s="302"/>
      <c r="B45" s="302"/>
      <c r="C45" s="302"/>
      <c r="D45" s="302"/>
      <c r="E45" s="302"/>
      <c r="F45" s="302"/>
      <c r="G45" s="304"/>
      <c r="H45" s="304"/>
      <c r="I45" s="305"/>
      <c r="J45" s="305"/>
      <c r="K45" s="1"/>
      <c r="L45" s="1"/>
      <c r="M45" s="1"/>
      <c r="N45" s="1"/>
      <c r="O45" s="1"/>
    </row>
    <row r="46" spans="1:15" ht="18.75">
      <c r="A46" s="302"/>
      <c r="B46" s="302"/>
      <c r="C46" s="302"/>
      <c r="D46" s="302"/>
      <c r="E46" s="302"/>
      <c r="F46" s="302"/>
      <c r="G46" s="304" t="s">
        <v>178</v>
      </c>
      <c r="H46" s="304"/>
      <c r="I46" s="305"/>
      <c r="J46" s="305"/>
      <c r="K46" s="1"/>
      <c r="L46" s="1"/>
      <c r="M46" s="1"/>
      <c r="N46" s="1"/>
      <c r="O46" s="1"/>
    </row>
    <row r="47" spans="1:15" ht="18.75">
      <c r="A47" s="302"/>
      <c r="B47" s="302"/>
      <c r="C47" s="302"/>
      <c r="D47" s="302"/>
      <c r="E47" s="302"/>
      <c r="F47" s="302"/>
      <c r="G47" s="304" t="s">
        <v>179</v>
      </c>
      <c r="H47" s="304"/>
      <c r="I47" s="305"/>
      <c r="J47" s="305"/>
      <c r="K47" s="1"/>
      <c r="L47" s="1"/>
      <c r="M47" s="1"/>
      <c r="N47" s="1"/>
      <c r="O47" s="1"/>
    </row>
    <row r="48" spans="1:15" ht="18.75">
      <c r="A48" s="302"/>
      <c r="B48" s="302"/>
      <c r="C48" s="302"/>
      <c r="D48" s="302"/>
      <c r="E48" s="302"/>
      <c r="F48" s="302"/>
      <c r="G48" s="304" t="s">
        <v>180</v>
      </c>
      <c r="H48" s="304"/>
      <c r="I48" s="305"/>
      <c r="J48" s="305"/>
      <c r="K48" s="1"/>
      <c r="L48" s="1"/>
      <c r="M48" s="1"/>
      <c r="N48" s="1"/>
      <c r="O48" s="1"/>
    </row>
  </sheetData>
  <mergeCells count="28">
    <mergeCell ref="C37:J37"/>
    <mergeCell ref="C38:J38"/>
    <mergeCell ref="C39:J39"/>
    <mergeCell ref="C40:J40"/>
    <mergeCell ref="C31:J31"/>
    <mergeCell ref="C32:J32"/>
    <mergeCell ref="C33:J33"/>
    <mergeCell ref="C34:J34"/>
    <mergeCell ref="C35:J35"/>
    <mergeCell ref="C36:J36"/>
    <mergeCell ref="A16:J16"/>
    <mergeCell ref="A29:J29"/>
    <mergeCell ref="C18:J18"/>
    <mergeCell ref="C19:J19"/>
    <mergeCell ref="C20:J20"/>
    <mergeCell ref="C21:J21"/>
    <mergeCell ref="A15:J15"/>
    <mergeCell ref="A1:J1"/>
    <mergeCell ref="A2:J2"/>
    <mergeCell ref="A3:J3"/>
    <mergeCell ref="A4:J4"/>
    <mergeCell ref="A6:J6"/>
    <mergeCell ref="A7:J7"/>
    <mergeCell ref="A9:J9"/>
    <mergeCell ref="A10:J10"/>
    <mergeCell ref="A11:J11"/>
    <mergeCell ref="A12:J12"/>
    <mergeCell ref="A14:J14"/>
  </mergeCells>
  <pageMargins left="0.75" right="0.25" top="0.5" bottom="0.5" header="0.3" footer="0.3"/>
  <pageSetup paperSize="5" scale="85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Lamp 1</vt:lpstr>
      <vt:lpstr>Jam-Mg</vt:lpstr>
      <vt:lpstr>Wali Kls</vt:lpstr>
      <vt:lpstr>Lamp 2 &amp; 4</vt:lpstr>
      <vt:lpstr>Lamp 5</vt:lpstr>
      <vt:lpstr>Lamp 1 b</vt:lpstr>
      <vt:lpstr>6,5,6</vt:lpstr>
      <vt:lpstr>Lamp 3</vt:lpstr>
      <vt:lpstr>pet khusus</vt:lpstr>
      <vt:lpstr>Konsideran</vt:lpstr>
      <vt:lpstr>Konsideran!Print_Area</vt:lpstr>
      <vt:lpstr>'pet khusus'!Print_Area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Microsoft</cp:lastModifiedBy>
  <cp:lastPrinted>2014-04-29T00:04:53Z</cp:lastPrinted>
  <dcterms:created xsi:type="dcterms:W3CDTF">2010-11-03T01:00:26Z</dcterms:created>
  <dcterms:modified xsi:type="dcterms:W3CDTF">2014-04-29T00:05:06Z</dcterms:modified>
</cp:coreProperties>
</file>