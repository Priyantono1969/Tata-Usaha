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Wildan\"/>
    </mc:Choice>
  </mc:AlternateContent>
  <xr:revisionPtr revIDLastSave="0" documentId="13_ncr:1_{B935D6E4-F559-431E-B4C7-DDC2D1797AF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Kepala Sekolah" sheetId="9" r:id="rId1"/>
    <sheet name="PNS, CPNS, PPPK~Guru" sheetId="10" r:id="rId2"/>
    <sheet name="PNS~Pelaksana" sheetId="11" r:id="rId3"/>
    <sheet name="GTT" sheetId="12" r:id="rId4"/>
    <sheet name="PTT" sheetId="13" r:id="rId5"/>
    <sheet name="Kebutuhan Guru" sheetId="14" r:id="rId6"/>
    <sheet name="GURU" sheetId="1" r:id="rId7"/>
    <sheet name="TATA USAHA" sheetId="2" r:id="rId8"/>
    <sheet name="STRUKTUR PETA JABATAN" sheetId="3" r:id="rId9"/>
    <sheet name="PETA JABATAN" sheetId="4" r:id="rId10"/>
    <sheet name="PROYEKSI KEBUTUHAN PEGAWAI" sheetId="5" r:id="rId11"/>
    <sheet name="R7" sheetId="6" r:id="rId12"/>
    <sheet name="R8" sheetId="7" r:id="rId13"/>
    <sheet name="R10" sheetId="8" r:id="rId14"/>
  </sheets>
  <externalReferences>
    <externalReference r:id="rId15"/>
  </externalReferences>
  <definedNames>
    <definedName name="_xlnm.Print_Area" localSheetId="6">GURU!$A$1:$U$42</definedName>
    <definedName name="_xlnm.Print_Area" localSheetId="1">'PNS, CPNS, PPPK~Guru'!$A$1:$O$77</definedName>
    <definedName name="_xlnm.Print_Area" localSheetId="10">'PROYEKSI KEBUTUHAN PEGAWAI'!$A$1:$N$86</definedName>
    <definedName name="_xlnm.Print_Area" localSheetId="13">'R10'!$A$1:$S$45</definedName>
    <definedName name="_xlnm.Print_Area" localSheetId="11">'R7'!$A$1:$U$76</definedName>
    <definedName name="_xlnm.Print_Area" localSheetId="8">'STRUKTUR PETA JABATAN'!$A$1:$X$42</definedName>
    <definedName name="_xlnm.Print_Area" localSheetId="7">'TATA USAHA'!$A$1:$J$26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2" i="2"/>
  <c r="A3" i="2"/>
  <c r="H25" i="14"/>
  <c r="C61" i="5"/>
  <c r="J61" i="5" s="1"/>
  <c r="C56" i="5"/>
  <c r="C51" i="5"/>
  <c r="C46" i="5"/>
  <c r="C41" i="5"/>
  <c r="C36" i="5"/>
  <c r="C31" i="5"/>
  <c r="C26" i="5"/>
  <c r="C21" i="5"/>
  <c r="C16" i="5"/>
  <c r="C11" i="5"/>
  <c r="B4" i="14"/>
  <c r="N61" i="5" l="1"/>
  <c r="M61" i="5"/>
  <c r="K61" i="5"/>
  <c r="L61" i="5"/>
  <c r="C7" i="5"/>
  <c r="H24" i="14"/>
  <c r="D11" i="14"/>
  <c r="J25" i="14" s="1"/>
  <c r="C6" i="8"/>
  <c r="D6" i="8"/>
  <c r="H31" i="14"/>
  <c r="H30" i="14"/>
  <c r="H27" i="14"/>
  <c r="J27" i="14" s="1"/>
  <c r="H26" i="14"/>
  <c r="J26" i="14" s="1"/>
  <c r="J24" i="14"/>
  <c r="H23" i="14"/>
  <c r="J23" i="14" s="1"/>
  <c r="H22" i="14"/>
  <c r="J22" i="14" s="1"/>
  <c r="H21" i="14"/>
  <c r="J21" i="14" s="1"/>
  <c r="H20" i="14"/>
  <c r="J20" i="14" s="1"/>
  <c r="H19" i="14"/>
  <c r="J19" i="14" s="1"/>
  <c r="H18" i="14"/>
  <c r="J18" i="14" s="1"/>
  <c r="H17" i="14"/>
  <c r="J17" i="14" s="1"/>
  <c r="H15" i="14"/>
  <c r="J15" i="14" s="1"/>
  <c r="H14" i="14"/>
  <c r="J14" i="14" s="1"/>
  <c r="H13" i="14"/>
  <c r="J13" i="14" s="1"/>
  <c r="H12" i="14"/>
  <c r="J12" i="14" s="1"/>
  <c r="H11" i="14"/>
  <c r="J11" i="14" s="1"/>
  <c r="A4" i="13"/>
  <c r="K11" i="13"/>
  <c r="K17" i="13"/>
  <c r="K16" i="13"/>
  <c r="K13" i="13"/>
  <c r="K12" i="13"/>
  <c r="A3" i="13"/>
  <c r="K67" i="12"/>
  <c r="A4" i="12"/>
  <c r="K73" i="12"/>
  <c r="K72" i="12"/>
  <c r="K69" i="12"/>
  <c r="K68" i="12"/>
  <c r="A3" i="12"/>
  <c r="A4" i="11"/>
  <c r="J13" i="11"/>
  <c r="J19" i="11"/>
  <c r="J18" i="11"/>
  <c r="J15" i="11"/>
  <c r="J14" i="11"/>
  <c r="A3" i="11"/>
  <c r="L71" i="10"/>
  <c r="A4" i="10"/>
  <c r="L77" i="10"/>
  <c r="L76" i="10"/>
  <c r="L73" i="10"/>
  <c r="L72" i="10"/>
  <c r="A3" i="10"/>
  <c r="H16" i="14" l="1"/>
  <c r="J16" i="14" s="1"/>
  <c r="P39" i="8" l="1"/>
  <c r="P43" i="8"/>
  <c r="P44" i="8"/>
  <c r="P45" i="8"/>
  <c r="P38" i="8"/>
  <c r="Q31" i="7"/>
  <c r="Q25" i="7"/>
  <c r="Q29" i="7"/>
  <c r="Q30" i="7"/>
  <c r="Q24" i="7"/>
  <c r="S76" i="6"/>
  <c r="S70" i="6"/>
  <c r="S74" i="6"/>
  <c r="S75" i="6"/>
  <c r="S69" i="6"/>
  <c r="Q23" i="8"/>
  <c r="O23" i="8"/>
  <c r="K23" i="8"/>
  <c r="G23" i="8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W27" i="1"/>
  <c r="W26" i="1"/>
  <c r="H26" i="2"/>
  <c r="H20" i="2"/>
  <c r="H24" i="2"/>
  <c r="H25" i="2"/>
  <c r="H19" i="2"/>
  <c r="N25" i="1"/>
  <c r="R25" i="1" s="1"/>
  <c r="S25" i="1" s="1"/>
  <c r="D41" i="5" s="1"/>
  <c r="N16" i="1"/>
  <c r="R16" i="1" s="1"/>
  <c r="S16" i="1" s="1"/>
  <c r="N19" i="1"/>
  <c r="R19" i="1" s="1"/>
  <c r="N28" i="1"/>
  <c r="R28" i="1" s="1"/>
  <c r="S28" i="1" s="1"/>
  <c r="U28" i="1" s="1"/>
  <c r="H29" i="3" s="1"/>
  <c r="N14" i="1"/>
  <c r="R14" i="1" s="1"/>
  <c r="S14" i="1" s="1"/>
  <c r="N21" i="1"/>
  <c r="R21" i="1" s="1"/>
  <c r="N77" i="5"/>
  <c r="M77" i="5"/>
  <c r="L77" i="5"/>
  <c r="K77" i="5"/>
  <c r="J77" i="5"/>
  <c r="N76" i="5"/>
  <c r="M76" i="5"/>
  <c r="L76" i="5"/>
  <c r="K76" i="5"/>
  <c r="J76" i="5"/>
  <c r="N75" i="5"/>
  <c r="M75" i="5"/>
  <c r="L75" i="5"/>
  <c r="K75" i="5"/>
  <c r="J75" i="5"/>
  <c r="N74" i="5"/>
  <c r="M74" i="5"/>
  <c r="L74" i="5"/>
  <c r="K74" i="5"/>
  <c r="J74" i="5"/>
  <c r="N73" i="5"/>
  <c r="M73" i="5"/>
  <c r="L73" i="5"/>
  <c r="K73" i="5"/>
  <c r="J73" i="5"/>
  <c r="N72" i="5"/>
  <c r="M72" i="5"/>
  <c r="L72" i="5"/>
  <c r="K72" i="5"/>
  <c r="J72" i="5"/>
  <c r="N71" i="5"/>
  <c r="M71" i="5"/>
  <c r="L71" i="5"/>
  <c r="K71" i="5"/>
  <c r="J71" i="5"/>
  <c r="N66" i="5"/>
  <c r="M66" i="5"/>
  <c r="L66" i="5"/>
  <c r="K66" i="5"/>
  <c r="J66" i="5"/>
  <c r="N10" i="5"/>
  <c r="M10" i="5"/>
  <c r="L10" i="5"/>
  <c r="K10" i="5"/>
  <c r="J10" i="5"/>
  <c r="I7" i="5"/>
  <c r="H7" i="5"/>
  <c r="G7" i="5"/>
  <c r="F7" i="5"/>
  <c r="E7" i="5"/>
  <c r="G22" i="4"/>
  <c r="G21" i="4"/>
  <c r="G20" i="4"/>
  <c r="G19" i="4"/>
  <c r="G18" i="4"/>
  <c r="G17" i="4"/>
  <c r="G16" i="4"/>
  <c r="G15" i="4"/>
  <c r="G14" i="4"/>
  <c r="V42" i="3"/>
  <c r="I86" i="5" s="1"/>
  <c r="V41" i="3"/>
  <c r="I85" i="5" s="1"/>
  <c r="V40" i="3"/>
  <c r="I84" i="5" s="1"/>
  <c r="V36" i="3"/>
  <c r="I80" i="5" s="1"/>
  <c r="V35" i="3"/>
  <c r="I79" i="5" s="1"/>
  <c r="G32" i="3"/>
  <c r="G31" i="3"/>
  <c r="G30" i="3"/>
  <c r="G29" i="3"/>
  <c r="G28" i="3"/>
  <c r="G27" i="3"/>
  <c r="G26" i="3"/>
  <c r="G25" i="3"/>
  <c r="G24" i="3"/>
  <c r="G23" i="3"/>
  <c r="G22" i="3"/>
  <c r="J17" i="2"/>
  <c r="Q31" i="3" s="1"/>
  <c r="J16" i="2"/>
  <c r="Q30" i="3" s="1"/>
  <c r="J14" i="2"/>
  <c r="Q24" i="3" s="1"/>
  <c r="J15" i="2"/>
  <c r="Q26" i="3" s="1"/>
  <c r="J13" i="2"/>
  <c r="Q25" i="3" s="1"/>
  <c r="J12" i="2"/>
  <c r="Q23" i="3" s="1"/>
  <c r="J11" i="2"/>
  <c r="Q22" i="3" s="1"/>
  <c r="N33" i="1"/>
  <c r="R33" i="1" s="1"/>
  <c r="S33" i="1" s="1"/>
  <c r="N32" i="1"/>
  <c r="R32" i="1" s="1"/>
  <c r="N30" i="1"/>
  <c r="R30" i="1" s="1"/>
  <c r="S30" i="1" s="1"/>
  <c r="C14" i="8" s="1"/>
  <c r="N29" i="1"/>
  <c r="R29" i="1" s="1"/>
  <c r="S29" i="1" s="1"/>
  <c r="N23" i="1"/>
  <c r="R23" i="1" s="1"/>
  <c r="N12" i="1"/>
  <c r="R12" i="1" s="1"/>
  <c r="S12" i="1" s="1"/>
  <c r="C20" i="8" l="1"/>
  <c r="U29" i="1"/>
  <c r="H30" i="3" s="1"/>
  <c r="C21" i="8"/>
  <c r="U14" i="1"/>
  <c r="C12" i="8"/>
  <c r="D21" i="5"/>
  <c r="C15" i="8"/>
  <c r="D11" i="5"/>
  <c r="D16" i="5"/>
  <c r="U33" i="1"/>
  <c r="H33" i="3" s="1"/>
  <c r="D56" i="5"/>
  <c r="K41" i="5"/>
  <c r="J41" i="5"/>
  <c r="L41" i="5"/>
  <c r="N41" i="5"/>
  <c r="M41" i="5"/>
  <c r="U30" i="1"/>
  <c r="H31" i="3" s="1"/>
  <c r="D46" i="5"/>
  <c r="C11" i="8"/>
  <c r="C16" i="8"/>
  <c r="C22" i="8"/>
  <c r="U25" i="1"/>
  <c r="H28" i="3" s="1"/>
  <c r="S32" i="1"/>
  <c r="S23" i="1"/>
  <c r="S19" i="1"/>
  <c r="D26" i="5" s="1"/>
  <c r="S21" i="1"/>
  <c r="U16" i="1"/>
  <c r="H24" i="3" s="1"/>
  <c r="U12" i="1"/>
  <c r="H22" i="3" s="1"/>
  <c r="H23" i="3"/>
  <c r="U21" i="1" l="1"/>
  <c r="H26" i="3" s="1"/>
  <c r="D31" i="5"/>
  <c r="C18" i="8"/>
  <c r="N26" i="5"/>
  <c r="M26" i="5"/>
  <c r="L26" i="5"/>
  <c r="K26" i="5"/>
  <c r="J26" i="5"/>
  <c r="U23" i="1"/>
  <c r="H27" i="3" s="1"/>
  <c r="D36" i="5"/>
  <c r="C19" i="8"/>
  <c r="U32" i="1"/>
  <c r="H32" i="3" s="1"/>
  <c r="D51" i="5"/>
  <c r="C13" i="8"/>
  <c r="N56" i="5"/>
  <c r="L56" i="5"/>
  <c r="M56" i="5"/>
  <c r="K56" i="5"/>
  <c r="J56" i="5"/>
  <c r="M16" i="5"/>
  <c r="L16" i="5"/>
  <c r="J16" i="5"/>
  <c r="N16" i="5"/>
  <c r="K16" i="5"/>
  <c r="N11" i="5"/>
  <c r="L11" i="5"/>
  <c r="K11" i="5"/>
  <c r="M11" i="5"/>
  <c r="J11" i="5"/>
  <c r="L46" i="5"/>
  <c r="J46" i="5"/>
  <c r="K46" i="5"/>
  <c r="M46" i="5"/>
  <c r="N46" i="5"/>
  <c r="N21" i="5"/>
  <c r="M21" i="5"/>
  <c r="L21" i="5"/>
  <c r="K21" i="5"/>
  <c r="J21" i="5"/>
  <c r="U19" i="1"/>
  <c r="H25" i="3" s="1"/>
  <c r="C17" i="8"/>
  <c r="C23" i="8" l="1"/>
  <c r="M36" i="5"/>
  <c r="L36" i="5"/>
  <c r="N36" i="5"/>
  <c r="K36" i="5"/>
  <c r="J36" i="5"/>
  <c r="J31" i="5"/>
  <c r="K31" i="5"/>
  <c r="K7" i="5" s="1"/>
  <c r="N31" i="5"/>
  <c r="L31" i="5"/>
  <c r="L7" i="5" s="1"/>
  <c r="M31" i="5"/>
  <c r="D7" i="5"/>
  <c r="J51" i="5"/>
  <c r="N51" i="5"/>
  <c r="M51" i="5"/>
  <c r="L51" i="5"/>
  <c r="K51" i="5"/>
  <c r="N7" i="5" l="1"/>
  <c r="J7" i="5"/>
  <c r="M7" i="5"/>
</calcChain>
</file>

<file path=xl/sharedStrings.xml><?xml version="1.0" encoding="utf-8"?>
<sst xmlns="http://schemas.openxmlformats.org/spreadsheetml/2006/main" count="1476" uniqueCount="614">
  <si>
    <t>Nama Sekolah</t>
  </si>
  <si>
    <t>: SMP Negeri 2 Karangtengah</t>
  </si>
  <si>
    <t>Kecamatan</t>
  </si>
  <si>
    <t>: Karangtengah</t>
  </si>
  <si>
    <t>Kabupaten</t>
  </si>
  <si>
    <t>: Demak</t>
  </si>
  <si>
    <t>Provinsi</t>
  </si>
  <si>
    <t>: Jawa Tengah</t>
  </si>
  <si>
    <t>No</t>
  </si>
  <si>
    <t>Nama Guru</t>
  </si>
  <si>
    <t>NIP</t>
  </si>
  <si>
    <t>PANGKAT/ GOLONGAN</t>
  </si>
  <si>
    <t>JABATAN</t>
  </si>
  <si>
    <t>STATUS KEPEGAWAIAN</t>
  </si>
  <si>
    <t>Mata Pelajaran</t>
  </si>
  <si>
    <t>Rombel</t>
  </si>
  <si>
    <t>JTM / Minggu</t>
  </si>
  <si>
    <t>JTM</t>
  </si>
  <si>
    <t>Tugas Tambahan</t>
  </si>
  <si>
    <t>Jumlah Tugas Tambahan</t>
  </si>
  <si>
    <t>Jam Ekuivalen</t>
  </si>
  <si>
    <t>Total JTM</t>
  </si>
  <si>
    <t>Kebutuhan Guru</t>
  </si>
  <si>
    <t>Bezetting</t>
  </si>
  <si>
    <t>Kelebihan / Kekurangan</t>
  </si>
  <si>
    <t>Tkt 7</t>
  </si>
  <si>
    <t>Tkt 8</t>
  </si>
  <si>
    <t>Tkt 9</t>
  </si>
  <si>
    <t>TITIK ARDIATI, S.Ag.</t>
  </si>
  <si>
    <t>197705312014062001</t>
  </si>
  <si>
    <t>Penata Muda Tingkat I, III/b</t>
  </si>
  <si>
    <t>GURU AHLI PERTAMA</t>
  </si>
  <si>
    <t>ASN</t>
  </si>
  <si>
    <t>IKKE NAILUL AFIFAH, S.Pd., M.Pd.</t>
  </si>
  <si>
    <t>-</t>
  </si>
  <si>
    <t>NON DAPODIK</t>
  </si>
  <si>
    <t>Pangkat Golongan</t>
  </si>
  <si>
    <t>Kelas Jabatan</t>
  </si>
  <si>
    <t>SUPRIYONO, S.Pd.</t>
  </si>
  <si>
    <t>196808212006041008</t>
  </si>
  <si>
    <t>Penata Tingkat I, III/d</t>
  </si>
  <si>
    <t>GURU AHLI MUDA</t>
  </si>
  <si>
    <t>Pendidikan Pancasila dan Kewarganegaraan</t>
  </si>
  <si>
    <t>Penata Muda, III/a</t>
  </si>
  <si>
    <t>SITI KORIYAH, S.Pd.</t>
  </si>
  <si>
    <t>197602162022212007</t>
  </si>
  <si>
    <t>IX</t>
  </si>
  <si>
    <t>ST. ASTUTIK, S.Pd.</t>
  </si>
  <si>
    <t>197701292008012003</t>
  </si>
  <si>
    <t>Pembina, IV/a</t>
  </si>
  <si>
    <t>GURU AHLI MADYA</t>
  </si>
  <si>
    <t>Bahasa Indonesia</t>
  </si>
  <si>
    <t>Penata, III/c</t>
  </si>
  <si>
    <t>DEWI NUR KHALIMAH, S.Pd., M.Pd.</t>
  </si>
  <si>
    <t>198711082010012013</t>
  </si>
  <si>
    <t>LULU' AULIA, S.Pd.</t>
  </si>
  <si>
    <t>198704072022212005</t>
  </si>
  <si>
    <t>WUWUK RACHMAWATI, S.Pd., M.Pd.</t>
  </si>
  <si>
    <t>198102182006042012</t>
  </si>
  <si>
    <t>Bahasa Inggris</t>
  </si>
  <si>
    <t>Pembina Tingkat I, IV/b</t>
  </si>
  <si>
    <t>RINA HAYATI, S.Pd.</t>
  </si>
  <si>
    <t>197711262014062003</t>
  </si>
  <si>
    <t>Pembina Utama Muda, IV/c</t>
  </si>
  <si>
    <t>PAULUS MULJONO, S.Pd.</t>
  </si>
  <si>
    <t>196609271989031007</t>
  </si>
  <si>
    <t>Matematika</t>
  </si>
  <si>
    <t>Pembina Utama Madya, IV/d</t>
  </si>
  <si>
    <t>M. NAILUL I'DAD FIRDAUS, S.Pd.</t>
  </si>
  <si>
    <t>Pembina Utama, IV/e</t>
  </si>
  <si>
    <t>MALIHATUN NI'MAH, S.Si.</t>
  </si>
  <si>
    <t>198008142009032003</t>
  </si>
  <si>
    <t>Ilmu Pengetahuan Alam</t>
  </si>
  <si>
    <t>SEPTIA NURKHALISA, S.Pd.</t>
  </si>
  <si>
    <t>199709062020122024</t>
  </si>
  <si>
    <t>Penata Muda</t>
  </si>
  <si>
    <t>RITA KRISNAWATI, S.Pd.</t>
  </si>
  <si>
    <t>197611041999032003</t>
  </si>
  <si>
    <t>Ilmu Pengetahuan Sosial</t>
  </si>
  <si>
    <t>SRI HARYATI, S.Pd.</t>
  </si>
  <si>
    <t>196912132014062001</t>
  </si>
  <si>
    <t>KHOIRUN NI'AM, S.E.</t>
  </si>
  <si>
    <t>198402282022211014</t>
  </si>
  <si>
    <t>DWI NUGROHO ANDY SUSETYO, S.S.</t>
  </si>
  <si>
    <t>197510202009031003</t>
  </si>
  <si>
    <t>Bahasa Jawa</t>
  </si>
  <si>
    <t>Informatika</t>
  </si>
  <si>
    <t>ISTIKOMAH, S.Pd.</t>
  </si>
  <si>
    <t>198704262022212004</t>
  </si>
  <si>
    <t>Seni Budaya/Prakarya</t>
  </si>
  <si>
    <t>Wali Kelas, Guru Piket</t>
  </si>
  <si>
    <t>DIDIK PRABOWO, S.Pd.</t>
  </si>
  <si>
    <t>SRI WAHYUNI, S.Pd., M.Pd.</t>
  </si>
  <si>
    <t>196806181994122003</t>
  </si>
  <si>
    <t>Penjasorkes</t>
  </si>
  <si>
    <t>SRI RAHAYU SULISTIYANTI, S.Pd.</t>
  </si>
  <si>
    <t>197202082021212004</t>
  </si>
  <si>
    <t>Bimbingan Konseling</t>
  </si>
  <si>
    <t>Guru Piket</t>
  </si>
  <si>
    <t>Keterangan:</t>
  </si>
  <si>
    <t>Kepala SMP Negeri 2 Karangtengah</t>
  </si>
  <si>
    <t>1. Tingkatan Kelas (Tkt)</t>
  </si>
  <si>
    <t>2. Jam Tatap Muka Perminggu (JTM/Minggu)</t>
  </si>
  <si>
    <t>3. Jumlah Tatap Muka (JTM)</t>
  </si>
  <si>
    <t>4. Ketersediaan Pegawai (Bezetting)</t>
  </si>
  <si>
    <t>Priyantono, S.Pd., M.Pd.</t>
  </si>
  <si>
    <t>NIP. 196902251994031005</t>
  </si>
  <si>
    <t>NO</t>
  </si>
  <si>
    <t>NAMA PEGAWAI</t>
  </si>
  <si>
    <t>PANGKAT/GOL</t>
  </si>
  <si>
    <t>KEBUTUHAN PEGAWAI</t>
  </si>
  <si>
    <t>BEZETTING</t>
  </si>
  <si>
    <t>KELEBIHAN/KEKURANGAN</t>
  </si>
  <si>
    <t>M. WILDAN REZKY TAWAKKAL, S.H.</t>
  </si>
  <si>
    <t>Koordinator Tata Usaha/Kepegawaian</t>
  </si>
  <si>
    <t>DIVA AULIA SAJIDAH, S.Stat.</t>
  </si>
  <si>
    <t>Pengelola Administrasi Umum,  Pengolah Data</t>
  </si>
  <si>
    <t>TRUBUS</t>
  </si>
  <si>
    <t>Pengelola Keamanan dan Ketertiban Sekolah</t>
  </si>
  <si>
    <t>DAPODIK</t>
  </si>
  <si>
    <t>TUGIYO</t>
  </si>
  <si>
    <t>Pengelola Kebersihan Sekolah</t>
  </si>
  <si>
    <t>SUROSO</t>
  </si>
  <si>
    <t>Pengelola Perpustakaan, Pranata Kearsipan, Inventaris Aset Sekolah</t>
  </si>
  <si>
    <t>SUNIMAN</t>
  </si>
  <si>
    <t>Penjaga Malam</t>
  </si>
  <si>
    <t>JAMI'AN</t>
  </si>
  <si>
    <t>PETA JABATAN SMP NEGERI 2 KARANGTENGAH</t>
  </si>
  <si>
    <t xml:space="preserve">DINAS PENDIDIKAN DAN KEBUDAYAAN </t>
  </si>
  <si>
    <t>KABUPATEN DEMAK</t>
  </si>
  <si>
    <t>19 ORANG TERDIRI DARI</t>
  </si>
  <si>
    <t>KEPALA SEKOLAH</t>
  </si>
  <si>
    <t>BEBAN KERJA</t>
  </si>
  <si>
    <t>Es.I</t>
  </si>
  <si>
    <t>:</t>
  </si>
  <si>
    <t>Es.III</t>
  </si>
  <si>
    <t>JFT</t>
  </si>
  <si>
    <t>: 14</t>
  </si>
  <si>
    <t>PRIYANTONO, S.Pd., M.Pd.</t>
  </si>
  <si>
    <t>Es.II</t>
  </si>
  <si>
    <t>Es.IV</t>
  </si>
  <si>
    <t>JFU</t>
  </si>
  <si>
    <t>: 5</t>
  </si>
  <si>
    <t>KEKUATAN PEGAWAI</t>
  </si>
  <si>
    <t>IV/e :</t>
  </si>
  <si>
    <t>III/d :</t>
  </si>
  <si>
    <t>X :</t>
  </si>
  <si>
    <t>V :</t>
  </si>
  <si>
    <t>I/d :</t>
  </si>
  <si>
    <t>IV/d :</t>
  </si>
  <si>
    <t>III/c :</t>
  </si>
  <si>
    <t>IX :</t>
  </si>
  <si>
    <t>II/d :</t>
  </si>
  <si>
    <t>I/c :</t>
  </si>
  <si>
    <t>WAKIL KEPALA</t>
  </si>
  <si>
    <t>IV/c :</t>
  </si>
  <si>
    <t>III/b :</t>
  </si>
  <si>
    <t>VIII :</t>
  </si>
  <si>
    <t>II/c :</t>
  </si>
  <si>
    <t>I/b :</t>
  </si>
  <si>
    <r>
      <rPr>
        <b/>
        <sz val="14"/>
        <color rgb="FFFFFFFF"/>
        <rFont val="Arial"/>
        <family val="2"/>
      </rPr>
      <t>BIDANG AKADEMIK</t>
    </r>
  </si>
  <si>
    <t>BIDANG KESISWAAN</t>
  </si>
  <si>
    <t>IV/b :</t>
  </si>
  <si>
    <t>III/a :</t>
  </si>
  <si>
    <t>VII :</t>
  </si>
  <si>
    <t>II/b :</t>
  </si>
  <si>
    <t>I/a :</t>
  </si>
  <si>
    <t>IV/a :</t>
  </si>
  <si>
    <t>XI :</t>
  </si>
  <si>
    <t>VI :</t>
  </si>
  <si>
    <t>II/a :</t>
  </si>
  <si>
    <t>NIP. 198008142009032003</t>
  </si>
  <si>
    <t>NIP. 196808212006041008</t>
  </si>
  <si>
    <t>KELOMPOK JABATAN FUNGSIONAL</t>
  </si>
  <si>
    <t>B</t>
  </si>
  <si>
    <t>K</t>
  </si>
  <si>
    <t>KELOMPOK JABATAN PELAKSANA</t>
  </si>
  <si>
    <t>Guru Pendidikan Agama dan Budi Pekerti</t>
  </si>
  <si>
    <t>Kepegawaian, Analis Tata Usaha</t>
  </si>
  <si>
    <t>Guru Pendidikan Pancasila dan Kewarganegaraan</t>
  </si>
  <si>
    <t>Guru Bahasa Indonesia</t>
  </si>
  <si>
    <t>Guru Bahasa Inggris</t>
  </si>
  <si>
    <t>Guru Matematika</t>
  </si>
  <si>
    <t>Guru Ilmu Pengetahuan Alam</t>
  </si>
  <si>
    <t>Pengelola Barang Milik Negara/Aset Daerah</t>
  </si>
  <si>
    <t>Guru Ilmu Pengetahuan Sosial</t>
  </si>
  <si>
    <t>Bendahara</t>
  </si>
  <si>
    <t>Guru Bahasa Jawa</t>
  </si>
  <si>
    <t>Pramu Laboratorium</t>
  </si>
  <si>
    <t>Guru Informatika</t>
  </si>
  <si>
    <t>Guru Seni Budaya/Prakarya</t>
  </si>
  <si>
    <t>Guru Penjasorkes</t>
  </si>
  <si>
    <t>Guru BP/BK</t>
  </si>
  <si>
    <t>PETA JABATAN SMP NEGERI 2 KARANGTENGAH PADA DINAS PENDIDIKAN DAN KEBUDAYAAN KABUPATEN DEMAK</t>
  </si>
  <si>
    <t>KEPALA DINAS PENDIDIKAN DAN KEBUDAYAAN</t>
  </si>
  <si>
    <t>(KELAS 14)</t>
  </si>
  <si>
    <t>KEPALA SMP NEGERI 2 KARANGTENGAH</t>
  </si>
  <si>
    <t>(KELAS 11)</t>
  </si>
  <si>
    <t>Jabatan</t>
  </si>
  <si>
    <t>Kls</t>
  </si>
  <si>
    <t>+/-</t>
  </si>
  <si>
    <t>Guru Ahli Madya</t>
  </si>
  <si>
    <t>Guru Ahli Muda</t>
  </si>
  <si>
    <t>Guru Ahli Pertama</t>
  </si>
  <si>
    <t>Guru</t>
  </si>
  <si>
    <t>Pengelola Kepegawaian</t>
  </si>
  <si>
    <t>Pengadministrasi Keuangan</t>
  </si>
  <si>
    <t>Pengadministrasi Umum</t>
  </si>
  <si>
    <t>Petugas Keamanan</t>
  </si>
  <si>
    <t>Pramu Kebersihan</t>
  </si>
  <si>
    <t xml:space="preserve">Demak, </t>
  </si>
  <si>
    <t>Kepala Dinas Pendidikan dan Kebudayaan</t>
  </si>
  <si>
    <t>Haris Wahyudi Ridwan, AP, M.Si</t>
  </si>
  <si>
    <t>Pembina Utama Muda</t>
  </si>
  <si>
    <t>NIP. 197606061995011001</t>
  </si>
  <si>
    <t>PROYEKSI KEBUTUHAN PEGAWAI 5 (LIMA) TAHUN KE DEPAN</t>
  </si>
  <si>
    <t xml:space="preserve">Nama Unit Organisasi dan Nama Jabatan </t>
  </si>
  <si>
    <t>Bezetting Pegawai Saat Ini</t>
  </si>
  <si>
    <t>Kebutuhan Pegawai Berdasarkan ABK</t>
  </si>
  <si>
    <t xml:space="preserve">Proyeksi </t>
  </si>
  <si>
    <t>Jumlah yang akan Pensiun</t>
  </si>
  <si>
    <t>Pegawai yang Dibutuhkan</t>
  </si>
  <si>
    <t>Jumlah Seluruhnya</t>
  </si>
  <si>
    <t>Dinas Pendidikan dan Kebudayaan Kabupaten Demak</t>
  </si>
  <si>
    <t>SMP Negeri 2 Karangtengah</t>
  </si>
  <si>
    <t>Kepala Sekolah</t>
  </si>
  <si>
    <t>a. Guru Utama - 13</t>
  </si>
  <si>
    <t>b. Guru Madya - 11</t>
  </si>
  <si>
    <t>c. Guru Muda - 9</t>
  </si>
  <si>
    <t>d. Guru Pertama - 8</t>
  </si>
  <si>
    <t>Pustakawan</t>
  </si>
  <si>
    <t>a. Pustakawan Ahli Utama - 13</t>
  </si>
  <si>
    <t>b. Pustakawan Ahli Madya - 11</t>
  </si>
  <si>
    <t>c. Pustakawan Ahli Muda - 9</t>
  </si>
  <si>
    <t>d. Pustakawan Ahli Pertama - 8</t>
  </si>
  <si>
    <t>Analis Tata Usaha - 7</t>
  </si>
  <si>
    <t>Bendahara - 7</t>
  </si>
  <si>
    <t>Pranata Kearsipan - 6</t>
  </si>
  <si>
    <t>Pengolah Data - 6</t>
  </si>
  <si>
    <t>Pengelola Barang Milik Negara - 6</t>
  </si>
  <si>
    <t>Pengadministrasi Umum - 5</t>
  </si>
  <si>
    <t xml:space="preserve">Pramu Laboratorium - 3 </t>
  </si>
  <si>
    <t>Pendidikan Agama dan Budi Pekerti/Baca Tulis Al-Qur'an</t>
  </si>
  <si>
    <t>Wali kelas, Guru Piket</t>
  </si>
  <si>
    <t>Guru Piket, Bendahara Gaji</t>
  </si>
  <si>
    <t>Guru Piket, Bendahara BOSP</t>
  </si>
  <si>
    <t>Waka Kurikulum, Guru Piket, Koor. PKG</t>
  </si>
  <si>
    <t>Guru Piket, Koor. P5 Kelas 7, Wakasek, Waka Kesiswaan</t>
  </si>
  <si>
    <t>Wali Kelas, Koor. STP2K, Guru Piket</t>
  </si>
  <si>
    <t>Pembina Ekstrakurikuler, Pembina UKS, Guru Piket, Waka Humas</t>
  </si>
  <si>
    <t>Guru Piket, Tim STP2K</t>
  </si>
  <si>
    <t>Guru Piket, Koor. PKG, Tim STP2K, Koor. P5 Kelas 9, Dapodik, Bendahara Aset</t>
  </si>
  <si>
    <t>Wali Kelas, Guru Piket, Koor P5 Kelas 8, Tim STP2K, Ka Perpus</t>
  </si>
  <si>
    <t>Wali Kelas, Guru piket</t>
  </si>
  <si>
    <t>Wali Kelas, Guru Piket, Tim STP2K, Ka Laboratorium</t>
  </si>
  <si>
    <t>SITI KHOIRYAH, S.Pd.</t>
  </si>
  <si>
    <t>IKKE NAILUL AFIFAH, S.Pd., M.Pd.I.</t>
  </si>
  <si>
    <t>Wali Kelas, Guru Piket, Petugas Perpus</t>
  </si>
  <si>
    <t>PEMERINTAH KABUPATEN DEMAK</t>
  </si>
  <si>
    <t>R.7</t>
  </si>
  <si>
    <t>DINAS PENDIDIKAN DAN KEBUDAYAAN</t>
  </si>
  <si>
    <t xml:space="preserve">SMP NEGERI 2 KARANGTENGAH </t>
  </si>
  <si>
    <t>DAFTAR URUT KEPANGKATAN (DUK) PEGAWAI NEGERI SIPIL DAN NON PNS</t>
  </si>
  <si>
    <t>PER 1 AGUSTUS 2025</t>
  </si>
  <si>
    <t>NAMA</t>
  </si>
  <si>
    <t>L/P</t>
  </si>
  <si>
    <t>NIP/ KARPEG</t>
  </si>
  <si>
    <t>PANGKAT</t>
  </si>
  <si>
    <t>MASA KERJA KESELURUHAN</t>
  </si>
  <si>
    <t>LATIHAN JABATAN</t>
  </si>
  <si>
    <t>IJAZAH</t>
  </si>
  <si>
    <t>JURUSAN</t>
  </si>
  <si>
    <t>TAHUN</t>
  </si>
  <si>
    <t>TGL LAHIR</t>
  </si>
  <si>
    <t>CTT MUTASI</t>
  </si>
  <si>
    <t>KET</t>
  </si>
  <si>
    <t>TMT</t>
  </si>
  <si>
    <t>BULAN</t>
  </si>
  <si>
    <t>JUMLAH JAM</t>
  </si>
  <si>
    <t>L</t>
  </si>
  <si>
    <t>196902251994031005</t>
  </si>
  <si>
    <t>GURU</t>
  </si>
  <si>
    <t>STTPL</t>
  </si>
  <si>
    <t>JULI</t>
  </si>
  <si>
    <t>D3</t>
  </si>
  <si>
    <t>BAHASA JAWA</t>
  </si>
  <si>
    <t>SMPN 3 GUNTUR</t>
  </si>
  <si>
    <t>G.174615</t>
  </si>
  <si>
    <t>KS</t>
  </si>
  <si>
    <t>STTPL KS</t>
  </si>
  <si>
    <t>OKTOBER</t>
  </si>
  <si>
    <t>S2</t>
  </si>
  <si>
    <t>BAHASA INDONESIA</t>
  </si>
  <si>
    <t>PKn</t>
  </si>
  <si>
    <t>E.851146</t>
  </si>
  <si>
    <t>P</t>
  </si>
  <si>
    <t>S1</t>
  </si>
  <si>
    <t>PENJASORKES</t>
  </si>
  <si>
    <t>SMPN 30 MAKASSAR</t>
  </si>
  <si>
    <t>MANAJEMEN PENDIDIKAN</t>
  </si>
  <si>
    <t>EKONOMI</t>
  </si>
  <si>
    <t>SMPN 3 BONANG</t>
  </si>
  <si>
    <t>J.013213</t>
  </si>
  <si>
    <t>JUNI</t>
  </si>
  <si>
    <t>N.569078</t>
  </si>
  <si>
    <t>PPKn</t>
  </si>
  <si>
    <t>N.049946</t>
  </si>
  <si>
    <t>BAHASA INGGRIS</t>
  </si>
  <si>
    <t>N.046691</t>
  </si>
  <si>
    <t>P.342175</t>
  </si>
  <si>
    <t>BIOLOGI</t>
  </si>
  <si>
    <t>P.342174</t>
  </si>
  <si>
    <t>198711082010122013</t>
  </si>
  <si>
    <t>SMP SATAP UNGARAN</t>
  </si>
  <si>
    <t>Q.031767</t>
  </si>
  <si>
    <t>TARBIYAH</t>
  </si>
  <si>
    <t>B.01014744</t>
  </si>
  <si>
    <t>GEOGRAFI</t>
  </si>
  <si>
    <t>SMPN 2 SAYUNG</t>
  </si>
  <si>
    <t>B.01014899</t>
  </si>
  <si>
    <t>B.01014742</t>
  </si>
  <si>
    <t>ILMU PENGETAHUAN ALAM</t>
  </si>
  <si>
    <t>B.01061819</t>
  </si>
  <si>
    <t>BP</t>
  </si>
  <si>
    <t>EKONOMI PEMBANGUNAN</t>
  </si>
  <si>
    <t>LULU AULIA, S.Pd.</t>
  </si>
  <si>
    <t>GTT</t>
  </si>
  <si>
    <t>MATEMATIKA</t>
  </si>
  <si>
    <t>PENDIDIKAN AGAMA ISLAM</t>
  </si>
  <si>
    <t>PTT</t>
  </si>
  <si>
    <t>PAKET C</t>
  </si>
  <si>
    <t>ILMU HUKUM</t>
  </si>
  <si>
    <t>STATISTIKA</t>
  </si>
  <si>
    <t>STM</t>
  </si>
  <si>
    <t>PEMBANGUNAN</t>
  </si>
  <si>
    <t>JAMI`AN</t>
  </si>
  <si>
    <t>SR</t>
  </si>
  <si>
    <t xml:space="preserve">DAFTAR URUT KEPANGKATAN </t>
  </si>
  <si>
    <t>R8</t>
  </si>
  <si>
    <t>UNIT ORGANISASI : DINAS PENDIDIKAN  DAN KEBUDAYAAN KABUPATEN DEMAK</t>
  </si>
  <si>
    <t xml:space="preserve">TEMPAT : SMP NEGERI 2 KARANGTENGAH </t>
  </si>
  <si>
    <t>NO URUT</t>
  </si>
  <si>
    <t>NIP/KARPEG</t>
  </si>
  <si>
    <t>PENDIDIKAN</t>
  </si>
  <si>
    <t>CTT  MUTASI</t>
  </si>
  <si>
    <t>GOLRU</t>
  </si>
  <si>
    <t>THN</t>
  </si>
  <si>
    <t>BLN</t>
  </si>
  <si>
    <t>JML JAM</t>
  </si>
  <si>
    <t>LULUS THN</t>
  </si>
  <si>
    <t>TINGKAT IJAZAH</t>
  </si>
  <si>
    <t>SARJANA ILMU HUKUM</t>
  </si>
  <si>
    <t>01-03-2025</t>
  </si>
  <si>
    <t>SARJANA STATISTIKA</t>
  </si>
  <si>
    <t>PENGELOLA KEAMANAN &amp; KETERTIBAN SEKOLAH</t>
  </si>
  <si>
    <t>SEKOLAH TEKNIK MENENGAH</t>
  </si>
  <si>
    <t>PENJAGA MALAM</t>
  </si>
  <si>
    <t>SD</t>
  </si>
  <si>
    <t>Kelas</t>
  </si>
  <si>
    <t>Jmh Murid</t>
  </si>
  <si>
    <t>Jmh Kelas</t>
  </si>
  <si>
    <t>R.10</t>
  </si>
  <si>
    <t>VII</t>
  </si>
  <si>
    <t>UNIT KERJA</t>
  </si>
  <si>
    <t>: SMPN 2 KARANGTENGAH</t>
  </si>
  <si>
    <t>VIII</t>
  </si>
  <si>
    <t>ALAMAT</t>
  </si>
  <si>
    <t xml:space="preserve">: Jl. Raya Donorejo </t>
  </si>
  <si>
    <t>KEC/KAB</t>
  </si>
  <si>
    <t>: Karangtengah / Demak</t>
  </si>
  <si>
    <t>Jumlah</t>
  </si>
  <si>
    <t>NO TELP</t>
  </si>
  <si>
    <t>: 02916910950</t>
  </si>
  <si>
    <t>Bidang Studi</t>
  </si>
  <si>
    <t>GT Yang ada</t>
  </si>
  <si>
    <t>Saran Kepala Sekolah</t>
  </si>
  <si>
    <t>Keterangan</t>
  </si>
  <si>
    <t>Berdasarkan Ijazah</t>
  </si>
  <si>
    <t>Perlu Ditambah</t>
  </si>
  <si>
    <t>Perlu Dikurangi</t>
  </si>
  <si>
    <t>GTT/SKB</t>
  </si>
  <si>
    <t>GB</t>
  </si>
  <si>
    <t>1 Pensiun 1 Agustus 2028</t>
  </si>
  <si>
    <t>Penjas / Orkes</t>
  </si>
  <si>
    <t>Pensiun 1 Juni 2028</t>
  </si>
  <si>
    <t>B. Indonesia</t>
  </si>
  <si>
    <t>B. Jawa</t>
  </si>
  <si>
    <t>B. Inggris</t>
  </si>
  <si>
    <t>Pensiun 1 Oktober 2026</t>
  </si>
  <si>
    <t>IPA</t>
  </si>
  <si>
    <t>IPS</t>
  </si>
  <si>
    <t>Pensiun 1 Desember 2029</t>
  </si>
  <si>
    <t>TIK/Informatika</t>
  </si>
  <si>
    <t>Pensiun 1 April 2025</t>
  </si>
  <si>
    <t>BP/BK</t>
  </si>
  <si>
    <t>BTQ</t>
  </si>
  <si>
    <t>Pegawai</t>
  </si>
  <si>
    <t>I</t>
  </si>
  <si>
    <t>II</t>
  </si>
  <si>
    <t>III</t>
  </si>
  <si>
    <t>IV</t>
  </si>
  <si>
    <t>Golongan</t>
  </si>
  <si>
    <t>a</t>
  </si>
  <si>
    <t>b</t>
  </si>
  <si>
    <t>c</t>
  </si>
  <si>
    <t>d</t>
  </si>
  <si>
    <t>e</t>
  </si>
  <si>
    <t>Tata Usaha</t>
  </si>
  <si>
    <t>Pesuruh</t>
  </si>
  <si>
    <t>Penj. Malam</t>
  </si>
  <si>
    <t>TTT</t>
  </si>
  <si>
    <t xml:space="preserve">SMP </t>
  </si>
  <si>
    <t>SLTA/Diploma:</t>
  </si>
  <si>
    <t>Sarjana</t>
  </si>
  <si>
    <t>Laboran</t>
  </si>
  <si>
    <t xml:space="preserve">Catatan </t>
  </si>
  <si>
    <t>Isian Bidang Studi Bisa ditambah / dikurangi sesuai kebutuhan</t>
  </si>
  <si>
    <t>*)</t>
  </si>
  <si>
    <t>Coret yang tidak perlu</t>
  </si>
  <si>
    <t>JANGAN MERUBAH FORMAT</t>
  </si>
  <si>
    <t>Pendidikan Agama Islam/Baca Tulis Qur'an</t>
  </si>
  <si>
    <t>Lampiran : I.a</t>
  </si>
  <si>
    <t>DATA KEPALA SEKOLAH</t>
  </si>
  <si>
    <t>UNIT KERJA : SMP NEGERI 2 KARANGTENGAH</t>
  </si>
  <si>
    <t>Nama dan Gelar</t>
  </si>
  <si>
    <t>Tempat Lahir</t>
  </si>
  <si>
    <t>Tanggal, Bulan, dan Tahun Lahir</t>
  </si>
  <si>
    <t>Pangkat (Gol./Ruang)</t>
  </si>
  <si>
    <t>Pendidikan</t>
  </si>
  <si>
    <t>Memiliki Sertifikat Diklat Kepala Sekolah</t>
  </si>
  <si>
    <t>Alamat Tempat Tinggal</t>
  </si>
  <si>
    <t>Gol./ Ruang</t>
  </si>
  <si>
    <t>T.M.T</t>
  </si>
  <si>
    <t>Jenjang</t>
  </si>
  <si>
    <t>Jurusan /  Bidang Studi</t>
  </si>
  <si>
    <t>Nomor</t>
  </si>
  <si>
    <t>Tanggal</t>
  </si>
  <si>
    <t>1.</t>
  </si>
  <si>
    <t>Demak</t>
  </si>
  <si>
    <t>3374072502690001</t>
  </si>
  <si>
    <t>S.2</t>
  </si>
  <si>
    <t>Magister Pendidikan Bahasa Indonesia</t>
  </si>
  <si>
    <t>15023L0010321131013704</t>
  </si>
  <si>
    <t>Jl. Kepala Gading III/377, Plamongan, Pedurungan, Kota Semarang</t>
  </si>
  <si>
    <t>Kabupaten Demak</t>
  </si>
  <si>
    <t>Lampiran  :  I.b</t>
  </si>
  <si>
    <t>DATA PNS GURU, CPNS GURU, DAN PPPK GURU</t>
  </si>
  <si>
    <t>Mata Pelajaran Yang Diampu</t>
  </si>
  <si>
    <t>Jenis Kelamin (L/P)</t>
  </si>
  <si>
    <t>Jenis Kepegawaian</t>
  </si>
  <si>
    <t xml:space="preserve">Pendidikan </t>
  </si>
  <si>
    <t>Terima Sertifikasi</t>
  </si>
  <si>
    <t>(PNS/ CPNS/ PPPK)</t>
  </si>
  <si>
    <t>Sdh</t>
  </si>
  <si>
    <t>Blm</t>
  </si>
  <si>
    <t>Pendidikan Agama Islam</t>
  </si>
  <si>
    <t>PNS</t>
  </si>
  <si>
    <t>3321037105770003</t>
  </si>
  <si>
    <t>Sarjana Agama</t>
  </si>
  <si>
    <t>v</t>
  </si>
  <si>
    <t>Bakalrejo, Guntur, Demak</t>
  </si>
  <si>
    <t>2.</t>
  </si>
  <si>
    <t>Pendidikan Agama Kristen</t>
  </si>
  <si>
    <t>Pendidikan Agama Katholik</t>
  </si>
  <si>
    <t>Pendidikan Agama Hindu</t>
  </si>
  <si>
    <t>Pendidikan Agama Budha</t>
  </si>
  <si>
    <t>Sri Rahayu, Sulistiyanti, S.Pd.</t>
  </si>
  <si>
    <t>Semarang</t>
  </si>
  <si>
    <t>PPPK</t>
  </si>
  <si>
    <t>3321104802720001</t>
  </si>
  <si>
    <t>BK</t>
  </si>
  <si>
    <t>Katonsari, Demak, Demak</t>
  </si>
  <si>
    <t>Supriyono, S.Pd.</t>
  </si>
  <si>
    <t>3321112108680004</t>
  </si>
  <si>
    <t>Bintoro, Demak, Demak</t>
  </si>
  <si>
    <t>Siti Koriyah, S.Pd.</t>
  </si>
  <si>
    <t>3321065602760001</t>
  </si>
  <si>
    <t>Wonosalam, Demak, Demak</t>
  </si>
  <si>
    <t>ST. Astutik, S.Pd.</t>
  </si>
  <si>
    <t>Blora</t>
  </si>
  <si>
    <t>3321036901770003</t>
  </si>
  <si>
    <t>Pendidikan Bahasa Indonesia</t>
  </si>
  <si>
    <t>Guntur, Guntur, Demak</t>
  </si>
  <si>
    <t>Dewi Nur Khalimah, S.Pd., M.Pd.</t>
  </si>
  <si>
    <t>3321054811870001</t>
  </si>
  <si>
    <t>Kadilangu, Bintoro, Demak</t>
  </si>
  <si>
    <t>3.</t>
  </si>
  <si>
    <t>Lulu' Aulia, S.Pd.</t>
  </si>
  <si>
    <t>3321054704870002</t>
  </si>
  <si>
    <t>Karangsari, Karangtengah, Demak</t>
  </si>
  <si>
    <t>4.</t>
  </si>
  <si>
    <t xml:space="preserve">Matematika  </t>
  </si>
  <si>
    <t>Paulius Muljono, S.Pd.</t>
  </si>
  <si>
    <t>Jakarta</t>
  </si>
  <si>
    <t>27/09/1966</t>
  </si>
  <si>
    <t>3321042709660001</t>
  </si>
  <si>
    <t>Sembungharjo, Genuk, Semarang</t>
  </si>
  <si>
    <t>Ilmu Pengetahuan Alam (IPA)</t>
  </si>
  <si>
    <t>Malihatun Ni'mah, S.Si.</t>
  </si>
  <si>
    <t>3322055408800006</t>
  </si>
  <si>
    <t>Biologi</t>
  </si>
  <si>
    <t>Jogoloyo, Wonosalam, Demak</t>
  </si>
  <si>
    <t>Septia Nurkhalisa, S.Pd.</t>
  </si>
  <si>
    <t>3321114609970002</t>
  </si>
  <si>
    <t>Ilmu Pengetahuan Sosial (IPS)</t>
  </si>
  <si>
    <t>Rita Krisnawati, S.Pd.</t>
  </si>
  <si>
    <t>Kudus</t>
  </si>
  <si>
    <t>3321054411760001</t>
  </si>
  <si>
    <t>Pendidikan Ekonomi</t>
  </si>
  <si>
    <t>Mboyo, Karangtengah, Demak</t>
  </si>
  <si>
    <t>Sri Haryati, S.Pd.</t>
  </si>
  <si>
    <t>3321055312690001</t>
  </si>
  <si>
    <t>Pendidikan Geografi</t>
  </si>
  <si>
    <t>Sayung, Demak</t>
  </si>
  <si>
    <t>Khoirun Ni'am, S.E.</t>
  </si>
  <si>
    <t>3321022802840003</t>
  </si>
  <si>
    <t>Ekonomi Pembangunan</t>
  </si>
  <si>
    <t>Rimbu, Karangawen, Demak</t>
  </si>
  <si>
    <t>Wuwuk Rachmawati, S.Pd., M.Pd.</t>
  </si>
  <si>
    <t>Kendal</t>
  </si>
  <si>
    <t>18/02/1981</t>
  </si>
  <si>
    <t>3319085802810002</t>
  </si>
  <si>
    <t>Manajemen Pendidikan</t>
  </si>
  <si>
    <t>Rina Hayati, S.Pd.</t>
  </si>
  <si>
    <t>3321056611770001</t>
  </si>
  <si>
    <t>Pendidikan Bahasa Inggris</t>
  </si>
  <si>
    <t>Grogol, Karangtengah, Demak</t>
  </si>
  <si>
    <t>PJOK</t>
  </si>
  <si>
    <t>Sri Wahyuni, S.Pd., M.Pd.</t>
  </si>
  <si>
    <t>3322185806680005</t>
  </si>
  <si>
    <t>Kalikondang, Demak, Demak</t>
  </si>
  <si>
    <t>Seni Budaya</t>
  </si>
  <si>
    <t>Istikomah, S.Pd.</t>
  </si>
  <si>
    <t>3321046604870005</t>
  </si>
  <si>
    <t>Pendidikan Bahasa Jawa</t>
  </si>
  <si>
    <t>Pilangsari, Sayung, Demak</t>
  </si>
  <si>
    <t>Ketrampilan / Prakarya</t>
  </si>
  <si>
    <t>Teknologi Informasi dan Komunikasi (TIK)</t>
  </si>
  <si>
    <t>Dwi Nugroho Andy Susetyo, S.S.</t>
  </si>
  <si>
    <t>3321112010750004</t>
  </si>
  <si>
    <t>Sastra Jawa</t>
  </si>
  <si>
    <t>Krapyak, Bintoro, Demak</t>
  </si>
  <si>
    <t>Baca Tulis Al-Qur'an (BTQ)</t>
  </si>
  <si>
    <t>Lampiran  :  I.c</t>
  </si>
  <si>
    <t>DATA PEGAWAI NEGERI SIPIL (PNS) PELAKSANA</t>
  </si>
  <si>
    <t>Jenis/Tugas Pekerjaan</t>
  </si>
  <si>
    <t>NIP (Nomor Induk Pegawai)</t>
  </si>
  <si>
    <t xml:space="preserve">NIK (Nomor Induk Kependudukan) </t>
  </si>
  <si>
    <t>Lampiran  :  I.d</t>
  </si>
  <si>
    <t>DATA GURU TIDAK TETAP ( GTT  )</t>
  </si>
  <si>
    <t>Tanggal, Bulan, Tahun Lahir</t>
  </si>
  <si>
    <t>SK Pengangkatan Sebagai GTT</t>
  </si>
  <si>
    <t>Mengajar Mata Pelajaran</t>
  </si>
  <si>
    <t>Status</t>
  </si>
  <si>
    <t>Nomor SK</t>
  </si>
  <si>
    <t>Tanggal SK</t>
  </si>
  <si>
    <t>K2</t>
  </si>
  <si>
    <t>Non K2</t>
  </si>
  <si>
    <t>Jurusan</t>
  </si>
  <si>
    <t>NIK (Nomor Induk Kependidikan)</t>
  </si>
  <si>
    <t>Lampiran  :  I.e</t>
  </si>
  <si>
    <t>SK Pengangkatan Sebagai PTT</t>
  </si>
  <si>
    <t>Tugas/Pekerjaan yang dikerjakan</t>
  </si>
  <si>
    <t>Trubus</t>
  </si>
  <si>
    <t>3321051406790005</t>
  </si>
  <si>
    <t>421.2/022/2019</t>
  </si>
  <si>
    <t>Paket C</t>
  </si>
  <si>
    <t>NIK (Nomor Induk Kependudukan)</t>
  </si>
  <si>
    <t>Lampiran  :  I.f</t>
  </si>
  <si>
    <t>JUMLAH KEBUTUHAN GURU PNS / CPNS / PPPK BERDASARKAN MATA PELAJARAN</t>
  </si>
  <si>
    <t>( GURU TIDAK TETAP ( GTT) JANGAN DIIKUTKAN DIHITUNG )</t>
  </si>
  <si>
    <t>NO.</t>
  </si>
  <si>
    <t>NAMA  SEKOLAH</t>
  </si>
  <si>
    <t>JUMLAH MURID/ SISWA</t>
  </si>
  <si>
    <t>BIDANG STUDI / MATA PELAJARAN</t>
  </si>
  <si>
    <t>JML ROMBEL</t>
  </si>
  <si>
    <t>JUMLAH JAM PER MINGGU</t>
  </si>
  <si>
    <t>GURU YANG SEBENARNYA DIBUTUHKAN</t>
  </si>
  <si>
    <t>LEBIH ATAU KURANG GURU</t>
  </si>
  <si>
    <t>(Kolom 5 X 6) / 24</t>
  </si>
  <si>
    <t>Pendidikan  Agama Kristen</t>
  </si>
  <si>
    <t>Pendidikan  Agama Katholik</t>
  </si>
  <si>
    <t>Pendidikan  Agama Hindu</t>
  </si>
  <si>
    <t>Bahasa Daerah</t>
  </si>
  <si>
    <t>Keterangan :</t>
  </si>
  <si>
    <t>Kolom 3 : diisi berapa jumlah murid / siswa</t>
  </si>
  <si>
    <t>Kolom 7 : Jangan di Delete/dihapus karena sudah dirumus (Jml Rombel dikalikan Jml Jam Pel Per Minggu) dibagi 24</t>
  </si>
  <si>
    <t>Kolom 9 : Jangan di Delete/dihapus karena sudah dirumus (Jml Guru yang dibutuhkan dikurangi Jml Guru PNS saat ini)</t>
  </si>
  <si>
    <t>Pengisian Kebutuhan Guru BK dan Guru TIK dengan ketentuan 1 Guru mengampu 150-225 Siswa ( sudah dirumus jangan didelete)</t>
  </si>
  <si>
    <t>Apabila ada mata pelajaran  yang belum tercantum dalam form dapat ditambahkan pada baris yang paling bawah</t>
  </si>
  <si>
    <t>PNS GURU/CPNS GURU/PPPK, YANG ADA SAAT INI</t>
  </si>
  <si>
    <t>Titik Ardiati, S.Ag.</t>
  </si>
  <si>
    <t>REKAPITULASI DATA KETENAGAAN (SMP)</t>
  </si>
  <si>
    <t>Koor TU</t>
  </si>
  <si>
    <t>GOLONGAN</t>
  </si>
  <si>
    <t>G.331964</t>
  </si>
  <si>
    <t>Wali Kelas, Waka Sarpras, Guru Piket</t>
  </si>
  <si>
    <t>Guru Informatika (PENSIUN 1 APRIL 2025)</t>
  </si>
  <si>
    <t>Demak, Agustus 2025</t>
  </si>
  <si>
    <t>PER : 1 Agustus 2025</t>
  </si>
  <si>
    <t>T.M.T.</t>
  </si>
  <si>
    <t>Jurusan/ Bidang Studi</t>
  </si>
  <si>
    <t>Berdasarkan SK Menteri/Kanwil</t>
  </si>
  <si>
    <t>Ada/Tidak Ada*)</t>
  </si>
  <si>
    <t xml:space="preserve"> </t>
  </si>
  <si>
    <t>Karangtengah, Agustus 2025</t>
  </si>
  <si>
    <t>: Kekosongan Guru dengan jabatan yang sudah pensiun</t>
  </si>
  <si>
    <t>: Pegawai dengan jabatan yang akan pensiun</t>
  </si>
  <si>
    <t>DATA PEGAWAI TIDAK TETAP (PTT)</t>
  </si>
  <si>
    <t>DATA KESELURUHAN GURU</t>
  </si>
  <si>
    <t>DATA KESELURUHAN PEGAWAI</t>
  </si>
  <si>
    <t>Jenjang Pendidikan</t>
  </si>
  <si>
    <t>Jurusan/Bidang Studi</t>
  </si>
  <si>
    <t>Gol./Ruang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</si>
</sst>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"/>
    <numFmt numFmtId="165" formatCode="dd/mm/yyyy;@"/>
    <numFmt numFmtId="166" formatCode="[$-409]d\-mmm\-yy;@"/>
  </numFmts>
  <fonts count="60" x14ac:knownFonts="1">
    <font>
      <sz val="11"/>
      <color rgb="FF000000"/>
      <name val="Calibri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name val="Calibri"/>
      <family val="2"/>
    </font>
    <font>
      <b/>
      <sz val="14"/>
      <color rgb="FF000000"/>
      <name val="Arial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4"/>
      <color rgb="FF000000"/>
      <name val="Arial"/>
      <family val="2"/>
    </font>
    <font>
      <sz val="14"/>
      <color rgb="FF000000"/>
      <name val="Arial"/>
      <family val="2"/>
    </font>
    <font>
      <sz val="11"/>
      <color rgb="FF000000"/>
      <name val="Calibri"/>
      <family val="2"/>
    </font>
    <font>
      <b/>
      <sz val="14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b/>
      <sz val="11"/>
      <color rgb="FF000000"/>
      <name val="Arial"/>
      <family val="2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2"/>
      <name val="Arial"/>
      <family val="2"/>
    </font>
    <font>
      <b/>
      <sz val="11"/>
      <color rgb="FF000000"/>
      <name val="Calibri"/>
      <family val="2"/>
      <scheme val="minor"/>
    </font>
    <font>
      <b/>
      <sz val="14"/>
      <color theme="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36"/>
      <name val="Arial"/>
      <family val="2"/>
    </font>
    <font>
      <b/>
      <sz val="14"/>
      <color rgb="FFFF0000"/>
      <name val="Arial"/>
      <family val="2"/>
    </font>
    <font>
      <sz val="12"/>
      <name val="Times New Roman"/>
      <family val="1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22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u/>
      <sz val="10"/>
      <color theme="1"/>
      <name val="Arial"/>
      <family val="2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sz val="11"/>
      <color theme="0"/>
      <name val="Calibri"/>
      <family val="2"/>
    </font>
    <font>
      <sz val="14"/>
      <color theme="0"/>
      <name val="Arial"/>
      <family val="2"/>
    </font>
    <font>
      <sz val="14"/>
      <color rgb="FF000000"/>
      <name val="Calibri"/>
      <family val="2"/>
      <scheme val="minor"/>
    </font>
    <font>
      <sz val="12"/>
      <name val="Calibri"/>
      <family val="2"/>
    </font>
    <font>
      <b/>
      <u/>
      <sz val="12"/>
      <color rgb="FF000000"/>
      <name val="Arial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  <fill>
      <patternFill patternType="solid">
        <fgColor rgb="FFEE0000"/>
        <bgColor rgb="FFEE0000"/>
      </patternFill>
    </fill>
    <fill>
      <patternFill patternType="solid">
        <fgColor rgb="FFD0CECE"/>
        <bgColor rgb="FFD0CECE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rgb="FFD0CEC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7" tint="-0.249977111117893"/>
        <bgColor indexed="64"/>
      </patternFill>
    </fill>
  </fills>
  <borders count="16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indexed="64"/>
      </left>
      <right/>
      <top style="double">
        <color rgb="FF000000"/>
      </top>
      <bottom style="hair">
        <color rgb="FF000000"/>
      </bottom>
      <diagonal/>
    </border>
    <border>
      <left/>
      <right style="medium">
        <color indexed="64"/>
      </right>
      <top style="double">
        <color rgb="FF000000"/>
      </top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/>
      <right/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23" fillId="0" borderId="0" applyFont="0" applyFill="0" applyBorder="0" applyAlignment="0" applyProtection="0"/>
    <xf numFmtId="0" fontId="24" fillId="0" borderId="13"/>
    <xf numFmtId="0" fontId="24" fillId="0" borderId="13"/>
  </cellStyleXfs>
  <cellXfs count="92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quotePrefix="1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4" borderId="6" xfId="0" applyFont="1" applyFill="1" applyBorder="1" applyAlignment="1">
      <alignment horizontal="left" vertical="center"/>
    </xf>
    <xf numFmtId="0" fontId="2" fillId="4" borderId="6" xfId="0" quotePrefix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quotePrefix="1" applyFont="1" applyAlignment="1">
      <alignment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11" fillId="0" borderId="0" xfId="0" applyFont="1"/>
    <xf numFmtId="0" fontId="8" fillId="0" borderId="6" xfId="0" applyFont="1" applyBorder="1" applyAlignment="1">
      <alignment vertic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quotePrefix="1" applyFont="1"/>
    <xf numFmtId="0" fontId="8" fillId="0" borderId="14" xfId="0" applyFont="1" applyBorder="1"/>
    <xf numFmtId="0" fontId="8" fillId="0" borderId="15" xfId="0" applyFont="1" applyBorder="1"/>
    <xf numFmtId="0" fontId="12" fillId="0" borderId="0" xfId="0" applyFont="1" applyAlignment="1">
      <alignment vertical="center"/>
    </xf>
    <xf numFmtId="0" fontId="8" fillId="0" borderId="17" xfId="0" applyFont="1" applyBorder="1"/>
    <xf numFmtId="0" fontId="8" fillId="0" borderId="18" xfId="0" applyFont="1" applyBorder="1"/>
    <xf numFmtId="0" fontId="8" fillId="0" borderId="19" xfId="0" applyFont="1" applyBorder="1"/>
    <xf numFmtId="0" fontId="8" fillId="0" borderId="6" xfId="0" applyFont="1" applyBorder="1"/>
    <xf numFmtId="0" fontId="8" fillId="0" borderId="6" xfId="0" applyFont="1" applyBorder="1" applyAlignment="1">
      <alignment horizontal="center" vertical="center"/>
    </xf>
    <xf numFmtId="0" fontId="8" fillId="0" borderId="6" xfId="0" quotePrefix="1" applyFont="1" applyBorder="1" applyAlignment="1">
      <alignment horizontal="center" vertical="center"/>
    </xf>
    <xf numFmtId="0" fontId="4" fillId="0" borderId="0" xfId="0" applyFont="1"/>
    <xf numFmtId="0" fontId="13" fillId="0" borderId="0" xfId="0" applyFont="1"/>
    <xf numFmtId="0" fontId="9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" fillId="12" borderId="1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 wrapText="1"/>
    </xf>
    <xf numFmtId="0" fontId="18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4" borderId="11" xfId="0" quotePrefix="1" applyFont="1" applyFill="1" applyBorder="1" applyAlignment="1">
      <alignment horizontal="center" vertical="center"/>
    </xf>
    <xf numFmtId="0" fontId="2" fillId="4" borderId="12" xfId="0" quotePrefix="1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5" fillId="0" borderId="13" xfId="0" applyFont="1" applyBorder="1" applyAlignment="1">
      <alignment vertical="center"/>
    </xf>
    <xf numFmtId="0" fontId="9" fillId="0" borderId="13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7" fillId="0" borderId="13" xfId="0" applyFont="1" applyBorder="1" applyAlignment="1">
      <alignment vertical="center"/>
    </xf>
    <xf numFmtId="0" fontId="8" fillId="0" borderId="13" xfId="0" applyFont="1" applyBorder="1"/>
    <xf numFmtId="0" fontId="10" fillId="14" borderId="13" xfId="0" applyFont="1" applyFill="1" applyBorder="1" applyAlignment="1">
      <alignment vertical="center"/>
    </xf>
    <xf numFmtId="0" fontId="3" fillId="13" borderId="13" xfId="0" applyFont="1" applyFill="1" applyBorder="1" applyAlignment="1">
      <alignment vertical="center"/>
    </xf>
    <xf numFmtId="0" fontId="4" fillId="0" borderId="40" xfId="0" applyFont="1" applyBorder="1" applyAlignment="1">
      <alignment horizontal="center" vertical="center"/>
    </xf>
    <xf numFmtId="0" fontId="8" fillId="0" borderId="45" xfId="0" applyFont="1" applyBorder="1"/>
    <xf numFmtId="0" fontId="8" fillId="0" borderId="13" xfId="0" applyFont="1" applyBorder="1" applyAlignment="1">
      <alignment vertical="center"/>
    </xf>
    <xf numFmtId="0" fontId="8" fillId="0" borderId="41" xfId="0" applyFont="1" applyBorder="1"/>
    <xf numFmtId="0" fontId="4" fillId="0" borderId="41" xfId="0" applyFont="1" applyBorder="1"/>
    <xf numFmtId="0" fontId="8" fillId="0" borderId="44" xfId="0" applyFont="1" applyBorder="1"/>
    <xf numFmtId="0" fontId="21" fillId="13" borderId="40" xfId="0" applyFont="1" applyFill="1" applyBorder="1" applyAlignment="1">
      <alignment horizontal="left" vertical="center"/>
    </xf>
    <xf numFmtId="0" fontId="22" fillId="13" borderId="40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 wrapText="1" readingOrder="1"/>
    </xf>
    <xf numFmtId="0" fontId="4" fillId="2" borderId="36" xfId="0" applyFont="1" applyFill="1" applyBorder="1" applyAlignment="1">
      <alignment horizontal="center" vertical="center" wrapText="1" readingOrder="1"/>
    </xf>
    <xf numFmtId="0" fontId="4" fillId="2" borderId="36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 readingOrder="1"/>
    </xf>
    <xf numFmtId="164" fontId="4" fillId="0" borderId="37" xfId="0" applyNumberFormat="1" applyFont="1" applyBorder="1" applyAlignment="1">
      <alignment horizontal="center" vertical="center" wrapText="1" readingOrder="1"/>
    </xf>
    <xf numFmtId="0" fontId="4" fillId="0" borderId="39" xfId="0" applyFont="1" applyBorder="1" applyAlignment="1">
      <alignment horizontal="center" vertical="center" wrapText="1" readingOrder="1"/>
    </xf>
    <xf numFmtId="0" fontId="8" fillId="0" borderId="39" xfId="0" applyFont="1" applyBorder="1" applyAlignment="1">
      <alignment horizontal="center" vertical="center" wrapText="1" readingOrder="1"/>
    </xf>
    <xf numFmtId="164" fontId="8" fillId="0" borderId="39" xfId="0" applyNumberFormat="1" applyFont="1" applyBorder="1" applyAlignment="1">
      <alignment horizontal="center" vertical="center" wrapText="1"/>
    </xf>
    <xf numFmtId="0" fontId="8" fillId="0" borderId="16" xfId="0" quotePrefix="1" applyFont="1" applyBorder="1" applyAlignment="1">
      <alignment horizontal="left" vertical="center" wrapText="1"/>
    </xf>
    <xf numFmtId="0" fontId="4" fillId="0" borderId="39" xfId="0" applyFont="1" applyBorder="1" applyAlignment="1">
      <alignment horizontal="center" vertical="center" wrapText="1"/>
    </xf>
    <xf numFmtId="0" fontId="24" fillId="0" borderId="13" xfId="2"/>
    <xf numFmtId="0" fontId="24" fillId="0" borderId="13" xfId="2" applyAlignment="1">
      <alignment horizontal="center" vertical="center"/>
    </xf>
    <xf numFmtId="0" fontId="24" fillId="0" borderId="13" xfId="2" applyAlignment="1">
      <alignment vertical="center"/>
    </xf>
    <xf numFmtId="0" fontId="24" fillId="0" borderId="13" xfId="2" applyAlignment="1">
      <alignment horizontal="center"/>
    </xf>
    <xf numFmtId="0" fontId="28" fillId="0" borderId="13" xfId="2" applyFont="1" applyAlignment="1">
      <alignment horizontal="center" vertical="center"/>
    </xf>
    <xf numFmtId="0" fontId="28" fillId="0" borderId="13" xfId="2" applyFont="1"/>
    <xf numFmtId="0" fontId="28" fillId="0" borderId="13" xfId="2" applyFont="1" applyAlignment="1">
      <alignment vertical="center"/>
    </xf>
    <xf numFmtId="0" fontId="28" fillId="0" borderId="13" xfId="2" applyFont="1" applyAlignment="1">
      <alignment horizontal="left"/>
    </xf>
    <xf numFmtId="0" fontId="29" fillId="0" borderId="56" xfId="2" applyFont="1" applyBorder="1" applyAlignment="1">
      <alignment horizontal="center" vertical="center"/>
    </xf>
    <xf numFmtId="0" fontId="29" fillId="0" borderId="56" xfId="2" applyFont="1" applyBorder="1" applyAlignment="1">
      <alignment horizontal="center" vertical="center" wrapText="1"/>
    </xf>
    <xf numFmtId="0" fontId="18" fillId="16" borderId="59" xfId="2" applyFont="1" applyFill="1" applyBorder="1" applyAlignment="1">
      <alignment horizontal="center"/>
    </xf>
    <xf numFmtId="0" fontId="18" fillId="16" borderId="57" xfId="2" applyFont="1" applyFill="1" applyBorder="1" applyAlignment="1">
      <alignment horizontal="center"/>
    </xf>
    <xf numFmtId="0" fontId="18" fillId="16" borderId="57" xfId="2" applyFont="1" applyFill="1" applyBorder="1" applyAlignment="1">
      <alignment horizontal="center" vertical="center"/>
    </xf>
    <xf numFmtId="0" fontId="18" fillId="16" borderId="58" xfId="2" applyFont="1" applyFill="1" applyBorder="1" applyAlignment="1">
      <alignment horizontal="center" vertical="center"/>
    </xf>
    <xf numFmtId="0" fontId="18" fillId="0" borderId="61" xfId="2" applyFont="1" applyBorder="1" applyAlignment="1">
      <alignment horizontal="center" vertical="center"/>
    </xf>
    <xf numFmtId="0" fontId="18" fillId="0" borderId="62" xfId="2" quotePrefix="1" applyFont="1" applyBorder="1" applyAlignment="1">
      <alignment horizontal="center" vertical="center"/>
    </xf>
    <xf numFmtId="165" fontId="18" fillId="0" borderId="13" xfId="2" applyNumberFormat="1" applyFont="1" applyAlignment="1">
      <alignment horizontal="center" vertical="center"/>
    </xf>
    <xf numFmtId="0" fontId="18" fillId="0" borderId="13" xfId="2" applyFont="1" applyAlignment="1">
      <alignment horizontal="center" vertical="center"/>
    </xf>
    <xf numFmtId="0" fontId="18" fillId="0" borderId="40" xfId="2" applyFont="1" applyBorder="1" applyAlignment="1">
      <alignment horizontal="center" vertical="center"/>
    </xf>
    <xf numFmtId="0" fontId="18" fillId="0" borderId="62" xfId="2" applyFont="1" applyBorder="1" applyAlignment="1">
      <alignment horizontal="center" vertical="center"/>
    </xf>
    <xf numFmtId="0" fontId="18" fillId="0" borderId="40" xfId="2" quotePrefix="1" applyFont="1" applyBorder="1" applyAlignment="1">
      <alignment horizontal="center" vertical="center"/>
    </xf>
    <xf numFmtId="0" fontId="18" fillId="0" borderId="67" xfId="2" quotePrefix="1" applyFont="1" applyBorder="1" applyAlignment="1">
      <alignment horizontal="center" vertical="center"/>
    </xf>
    <xf numFmtId="0" fontId="18" fillId="0" borderId="40" xfId="2" applyFont="1" applyBorder="1" applyAlignment="1">
      <alignment horizontal="center" vertical="center" wrapText="1"/>
    </xf>
    <xf numFmtId="0" fontId="18" fillId="0" borderId="40" xfId="2" quotePrefix="1" applyFont="1" applyBorder="1" applyAlignment="1">
      <alignment vertical="center"/>
    </xf>
    <xf numFmtId="0" fontId="30" fillId="0" borderId="40" xfId="2" applyFont="1" applyBorder="1" applyAlignment="1">
      <alignment horizontal="center" vertical="center"/>
    </xf>
    <xf numFmtId="0" fontId="18" fillId="16" borderId="79" xfId="2" applyFont="1" applyFill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33" fillId="0" borderId="0" xfId="0" applyFont="1"/>
    <xf numFmtId="0" fontId="29" fillId="0" borderId="57" xfId="0" applyFont="1" applyBorder="1" applyAlignment="1">
      <alignment horizontal="center" vertical="center" wrapText="1"/>
    </xf>
    <xf numFmtId="0" fontId="29" fillId="0" borderId="82" xfId="0" applyFont="1" applyBorder="1" applyAlignment="1">
      <alignment horizontal="center" vertical="center" wrapText="1"/>
    </xf>
    <xf numFmtId="0" fontId="29" fillId="0" borderId="56" xfId="0" applyFont="1" applyBorder="1" applyAlignment="1">
      <alignment horizontal="center" vertical="center" wrapText="1"/>
    </xf>
    <xf numFmtId="0" fontId="34" fillId="0" borderId="56" xfId="0" applyFont="1" applyBorder="1" applyAlignment="1">
      <alignment horizontal="center" vertical="center"/>
    </xf>
    <xf numFmtId="0" fontId="34" fillId="0" borderId="82" xfId="0" applyFont="1" applyBorder="1" applyAlignment="1">
      <alignment horizontal="center" vertical="center" wrapText="1"/>
    </xf>
    <xf numFmtId="0" fontId="18" fillId="17" borderId="59" xfId="0" applyFont="1" applyFill="1" applyBorder="1" applyAlignment="1">
      <alignment horizontal="center" vertical="center"/>
    </xf>
    <xf numFmtId="0" fontId="18" fillId="17" borderId="57" xfId="0" quotePrefix="1" applyFont="1" applyFill="1" applyBorder="1" applyAlignment="1">
      <alignment horizontal="center" vertical="center"/>
    </xf>
    <xf numFmtId="0" fontId="18" fillId="17" borderId="57" xfId="0" applyFont="1" applyFill="1" applyBorder="1" applyAlignment="1">
      <alignment horizontal="center" vertical="center"/>
    </xf>
    <xf numFmtId="0" fontId="18" fillId="17" borderId="58" xfId="0" quotePrefix="1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66" fontId="18" fillId="0" borderId="13" xfId="0" applyNumberFormat="1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30" fillId="0" borderId="0" xfId="0" applyFont="1"/>
    <xf numFmtId="0" fontId="30" fillId="0" borderId="0" xfId="0" applyFont="1" applyAlignment="1">
      <alignment horizontal="center"/>
    </xf>
    <xf numFmtId="0" fontId="31" fillId="0" borderId="0" xfId="0" applyFont="1"/>
    <xf numFmtId="0" fontId="35" fillId="0" borderId="0" xfId="0" applyFont="1"/>
    <xf numFmtId="0" fontId="35" fillId="0" borderId="0" xfId="0" applyFont="1" applyAlignment="1">
      <alignment horizontal="left"/>
    </xf>
    <xf numFmtId="0" fontId="35" fillId="0" borderId="0" xfId="0" applyFont="1" applyAlignment="1">
      <alignment horizontal="center"/>
    </xf>
    <xf numFmtId="0" fontId="35" fillId="0" borderId="64" xfId="0" applyFont="1" applyBorder="1" applyAlignment="1">
      <alignment horizontal="center" vertical="center"/>
    </xf>
    <xf numFmtId="0" fontId="35" fillId="0" borderId="99" xfId="0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35" fillId="17" borderId="40" xfId="0" applyFont="1" applyFill="1" applyBorder="1" applyAlignment="1">
      <alignment horizontal="center" vertical="center"/>
    </xf>
    <xf numFmtId="0" fontId="35" fillId="17" borderId="91" xfId="0" applyFont="1" applyFill="1" applyBorder="1" applyAlignment="1">
      <alignment horizontal="center" vertical="center"/>
    </xf>
    <xf numFmtId="0" fontId="35" fillId="0" borderId="40" xfId="0" applyFont="1" applyBorder="1" applyAlignment="1">
      <alignment vertical="center"/>
    </xf>
    <xf numFmtId="0" fontId="35" fillId="0" borderId="0" xfId="0" applyFont="1" applyAlignment="1">
      <alignment vertical="center"/>
    </xf>
    <xf numFmtId="0" fontId="35" fillId="0" borderId="100" xfId="0" applyFont="1" applyBorder="1" applyAlignment="1">
      <alignment horizontal="center" vertical="center" wrapText="1"/>
    </xf>
    <xf numFmtId="0" fontId="35" fillId="0" borderId="100" xfId="0" applyFont="1" applyBorder="1" applyAlignment="1">
      <alignment vertical="center"/>
    </xf>
    <xf numFmtId="0" fontId="37" fillId="18" borderId="100" xfId="0" applyFont="1" applyFill="1" applyBorder="1" applyAlignment="1">
      <alignment vertical="center" wrapText="1"/>
    </xf>
    <xf numFmtId="0" fontId="37" fillId="19" borderId="100" xfId="0" applyFont="1" applyFill="1" applyBorder="1" applyAlignment="1">
      <alignment vertical="center" wrapText="1"/>
    </xf>
    <xf numFmtId="0" fontId="35" fillId="0" borderId="100" xfId="0" applyFont="1" applyBorder="1" applyAlignment="1">
      <alignment vertical="center" wrapText="1"/>
    </xf>
    <xf numFmtId="0" fontId="35" fillId="0" borderId="65" xfId="0" applyFont="1" applyBorder="1" applyAlignment="1">
      <alignment vertical="center"/>
    </xf>
    <xf numFmtId="0" fontId="36" fillId="13" borderId="13" xfId="0" applyFont="1" applyFill="1" applyBorder="1" applyAlignment="1">
      <alignment vertical="center" wrapText="1"/>
    </xf>
    <xf numFmtId="0" fontId="35" fillId="13" borderId="13" xfId="0" applyFont="1" applyFill="1" applyBorder="1"/>
    <xf numFmtId="0" fontId="35" fillId="13" borderId="13" xfId="0" applyFont="1" applyFill="1" applyBorder="1" applyAlignment="1">
      <alignment vertical="center"/>
    </xf>
    <xf numFmtId="0" fontId="37" fillId="13" borderId="13" xfId="0" applyFont="1" applyFill="1" applyBorder="1" applyAlignment="1">
      <alignment vertical="center" wrapText="1"/>
    </xf>
    <xf numFmtId="0" fontId="35" fillId="13" borderId="13" xfId="0" applyFont="1" applyFill="1" applyBorder="1" applyAlignment="1">
      <alignment vertical="center" wrapText="1"/>
    </xf>
    <xf numFmtId="0" fontId="35" fillId="17" borderId="106" xfId="0" applyFont="1" applyFill="1" applyBorder="1" applyAlignment="1">
      <alignment vertical="center"/>
    </xf>
    <xf numFmtId="0" fontId="35" fillId="0" borderId="108" xfId="0" applyFont="1" applyBorder="1" applyAlignment="1">
      <alignment horizontal="center" vertical="center" wrapText="1"/>
    </xf>
    <xf numFmtId="0" fontId="35" fillId="0" borderId="104" xfId="0" applyFont="1" applyBorder="1" applyAlignment="1">
      <alignment horizontal="center" vertical="center" wrapText="1"/>
    </xf>
    <xf numFmtId="0" fontId="35" fillId="0" borderId="106" xfId="0" applyFont="1" applyBorder="1" applyAlignment="1">
      <alignment horizontal="center" vertical="center" wrapText="1"/>
    </xf>
    <xf numFmtId="0" fontId="35" fillId="0" borderId="99" xfId="0" applyFont="1" applyBorder="1" applyAlignment="1">
      <alignment horizontal="center" vertical="center" wrapText="1"/>
    </xf>
    <xf numFmtId="0" fontId="35" fillId="17" borderId="59" xfId="0" applyFont="1" applyFill="1" applyBorder="1" applyAlignment="1">
      <alignment horizontal="center" vertical="center"/>
    </xf>
    <xf numFmtId="0" fontId="35" fillId="17" borderId="57" xfId="0" applyFont="1" applyFill="1" applyBorder="1" applyAlignment="1">
      <alignment horizontal="center" vertical="center"/>
    </xf>
    <xf numFmtId="0" fontId="35" fillId="0" borderId="64" xfId="0" applyFont="1" applyBorder="1" applyAlignment="1">
      <alignment horizontal="center" vertical="center" wrapText="1"/>
    </xf>
    <xf numFmtId="0" fontId="35" fillId="0" borderId="62" xfId="0" applyFont="1" applyBorder="1" applyAlignment="1">
      <alignment horizontal="center" vertical="center" wrapText="1"/>
    </xf>
    <xf numFmtId="0" fontId="35" fillId="0" borderId="65" xfId="0" applyFont="1" applyBorder="1" applyAlignment="1">
      <alignment horizontal="center" vertical="center" wrapText="1"/>
    </xf>
    <xf numFmtId="0" fontId="37" fillId="17" borderId="109" xfId="0" applyFont="1" applyFill="1" applyBorder="1" applyAlignment="1">
      <alignment horizontal="center" vertical="center" wrapText="1"/>
    </xf>
    <xf numFmtId="0" fontId="37" fillId="17" borderId="110" xfId="0" applyFont="1" applyFill="1" applyBorder="1" applyAlignment="1">
      <alignment horizontal="center" vertical="center"/>
    </xf>
    <xf numFmtId="0" fontId="37" fillId="17" borderId="111" xfId="0" applyFont="1" applyFill="1" applyBorder="1" applyAlignment="1">
      <alignment horizontal="center" vertical="center"/>
    </xf>
    <xf numFmtId="0" fontId="35" fillId="0" borderId="13" xfId="0" applyFont="1" applyBorder="1" applyAlignment="1">
      <alignment vertical="center"/>
    </xf>
    <xf numFmtId="0" fontId="35" fillId="17" borderId="99" xfId="0" applyFont="1" applyFill="1" applyBorder="1" applyAlignment="1">
      <alignment vertical="center"/>
    </xf>
    <xf numFmtId="0" fontId="35" fillId="17" borderId="100" xfId="0" applyFont="1" applyFill="1" applyBorder="1" applyAlignment="1">
      <alignment horizontal="center" vertical="center"/>
    </xf>
    <xf numFmtId="0" fontId="35" fillId="0" borderId="99" xfId="0" applyFont="1" applyBorder="1" applyAlignment="1">
      <alignment vertical="center"/>
    </xf>
    <xf numFmtId="0" fontId="35" fillId="0" borderId="108" xfId="0" applyFont="1" applyBorder="1" applyAlignment="1">
      <alignment vertical="center"/>
    </xf>
    <xf numFmtId="0" fontId="35" fillId="0" borderId="76" xfId="0" applyFont="1" applyBorder="1" applyAlignment="1">
      <alignment vertical="center"/>
    </xf>
    <xf numFmtId="0" fontId="35" fillId="0" borderId="106" xfId="0" applyFont="1" applyBorder="1" applyAlignment="1">
      <alignment vertical="center"/>
    </xf>
    <xf numFmtId="0" fontId="35" fillId="17" borderId="58" xfId="0" applyFont="1" applyFill="1" applyBorder="1" applyAlignment="1">
      <alignment horizontal="center" vertical="center"/>
    </xf>
    <xf numFmtId="165" fontId="18" fillId="0" borderId="86" xfId="2" applyNumberFormat="1" applyFont="1" applyBorder="1" applyAlignment="1">
      <alignment horizontal="center" vertical="center"/>
    </xf>
    <xf numFmtId="0" fontId="18" fillId="0" borderId="86" xfId="2" applyFont="1" applyBorder="1" applyAlignment="1">
      <alignment horizontal="center" vertical="center"/>
    </xf>
    <xf numFmtId="0" fontId="37" fillId="17" borderId="49" xfId="0" applyFont="1" applyFill="1" applyBorder="1" applyAlignment="1">
      <alignment vertical="center"/>
    </xf>
    <xf numFmtId="0" fontId="8" fillId="18" borderId="16" xfId="0" quotePrefix="1" applyFont="1" applyFill="1" applyBorder="1" applyAlignment="1">
      <alignment horizontal="left" vertical="center" wrapText="1"/>
    </xf>
    <xf numFmtId="0" fontId="4" fillId="18" borderId="39" xfId="0" applyFont="1" applyFill="1" applyBorder="1" applyAlignment="1">
      <alignment horizontal="center" vertical="center" wrapText="1" readingOrder="1"/>
    </xf>
    <xf numFmtId="0" fontId="8" fillId="18" borderId="39" xfId="0" applyFont="1" applyFill="1" applyBorder="1" applyAlignment="1">
      <alignment horizontal="center" vertical="center" wrapText="1" readingOrder="1"/>
    </xf>
    <xf numFmtId="164" fontId="8" fillId="18" borderId="39" xfId="0" applyNumberFormat="1" applyFont="1" applyFill="1" applyBorder="1" applyAlignment="1">
      <alignment horizontal="center" vertical="center" wrapText="1"/>
    </xf>
    <xf numFmtId="0" fontId="0" fillId="18" borderId="0" xfId="0" applyFill="1" applyAlignment="1">
      <alignment vertical="center"/>
    </xf>
    <xf numFmtId="0" fontId="4" fillId="18" borderId="39" xfId="0" applyFont="1" applyFill="1" applyBorder="1" applyAlignment="1">
      <alignment horizontal="center" vertical="center" wrapText="1"/>
    </xf>
    <xf numFmtId="0" fontId="8" fillId="19" borderId="39" xfId="0" applyFont="1" applyFill="1" applyBorder="1" applyAlignment="1">
      <alignment horizontal="center" vertical="center" wrapText="1" readingOrder="1"/>
    </xf>
    <xf numFmtId="0" fontId="0" fillId="19" borderId="0" xfId="0" applyFill="1" applyAlignment="1">
      <alignment vertical="center"/>
    </xf>
    <xf numFmtId="0" fontId="4" fillId="0" borderId="121" xfId="0" applyFont="1" applyBorder="1" applyAlignment="1">
      <alignment horizontal="center" vertical="center" wrapText="1" readingOrder="1"/>
    </xf>
    <xf numFmtId="0" fontId="4" fillId="2" borderId="122" xfId="0" applyFont="1" applyFill="1" applyBorder="1" applyAlignment="1">
      <alignment horizontal="center" vertical="center" wrapText="1" readingOrder="1"/>
    </xf>
    <xf numFmtId="0" fontId="4" fillId="2" borderId="123" xfId="0" applyFont="1" applyFill="1" applyBorder="1" applyAlignment="1">
      <alignment horizontal="center" vertical="center" wrapText="1" readingOrder="1"/>
    </xf>
    <xf numFmtId="0" fontId="8" fillId="0" borderId="124" xfId="0" applyFont="1" applyBorder="1" applyAlignment="1">
      <alignment horizontal="center" vertical="center" wrapText="1"/>
    </xf>
    <xf numFmtId="164" fontId="8" fillId="18" borderId="130" xfId="0" applyNumberFormat="1" applyFont="1" applyFill="1" applyBorder="1" applyAlignment="1">
      <alignment horizontal="center" vertical="center" wrapText="1"/>
    </xf>
    <xf numFmtId="0" fontId="8" fillId="0" borderId="129" xfId="0" applyFont="1" applyBorder="1" applyAlignment="1">
      <alignment horizontal="center" vertical="center" wrapText="1"/>
    </xf>
    <xf numFmtId="164" fontId="8" fillId="0" borderId="130" xfId="0" applyNumberFormat="1" applyFont="1" applyBorder="1" applyAlignment="1">
      <alignment horizontal="center" vertical="center" wrapText="1"/>
    </xf>
    <xf numFmtId="0" fontId="8" fillId="0" borderId="131" xfId="0" applyFont="1" applyBorder="1" applyAlignment="1">
      <alignment horizontal="center" vertical="center" wrapText="1"/>
    </xf>
    <xf numFmtId="0" fontId="4" fillId="0" borderId="133" xfId="0" applyFont="1" applyBorder="1" applyAlignment="1">
      <alignment horizontal="center" vertical="center" wrapText="1" readingOrder="1"/>
    </xf>
    <xf numFmtId="0" fontId="8" fillId="0" borderId="133" xfId="0" applyFont="1" applyBorder="1" applyAlignment="1">
      <alignment horizontal="center" vertical="center" wrapText="1" readingOrder="1"/>
    </xf>
    <xf numFmtId="164" fontId="8" fillId="0" borderId="133" xfId="0" applyNumberFormat="1" applyFont="1" applyBorder="1" applyAlignment="1">
      <alignment horizontal="center" vertical="center" wrapText="1"/>
    </xf>
    <xf numFmtId="164" fontId="8" fillId="0" borderId="134" xfId="0" applyNumberFormat="1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1" fillId="0" borderId="40" xfId="0" applyFont="1" applyBorder="1" applyAlignment="1">
      <alignment horizontal="center" vertical="center" wrapText="1"/>
    </xf>
    <xf numFmtId="0" fontId="41" fillId="0" borderId="62" xfId="0" applyFont="1" applyBorder="1" applyAlignment="1">
      <alignment horizontal="center" vertical="center"/>
    </xf>
    <xf numFmtId="0" fontId="41" fillId="0" borderId="62" xfId="0" applyFont="1" applyBorder="1" applyAlignment="1">
      <alignment horizontal="center" vertical="center" wrapText="1"/>
    </xf>
    <xf numFmtId="0" fontId="40" fillId="0" borderId="40" xfId="0" applyFont="1" applyBorder="1" applyAlignment="1">
      <alignment horizontal="center" vertical="center"/>
    </xf>
    <xf numFmtId="0" fontId="40" fillId="0" borderId="40" xfId="0" applyFont="1" applyBorder="1" applyAlignment="1">
      <alignment horizontal="left" vertical="center"/>
    </xf>
    <xf numFmtId="0" fontId="40" fillId="0" borderId="40" xfId="0" applyFont="1" applyBorder="1" applyAlignment="1">
      <alignment horizontal="center" vertical="center" wrapText="1"/>
    </xf>
    <xf numFmtId="0" fontId="42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4" fontId="40" fillId="0" borderId="62" xfId="0" applyNumberFormat="1" applyFont="1" applyBorder="1" applyAlignment="1">
      <alignment horizontal="center" vertical="center" wrapText="1"/>
    </xf>
    <xf numFmtId="0" fontId="40" fillId="0" borderId="62" xfId="0" applyFont="1" applyBorder="1" applyAlignment="1">
      <alignment horizontal="center" vertical="center" wrapText="1"/>
    </xf>
    <xf numFmtId="0" fontId="40" fillId="0" borderId="62" xfId="0" quotePrefix="1" applyFont="1" applyBorder="1" applyAlignment="1">
      <alignment horizontal="center" vertical="center" wrapText="1"/>
    </xf>
    <xf numFmtId="0" fontId="40" fillId="13" borderId="62" xfId="0" quotePrefix="1" applyFont="1" applyFill="1" applyBorder="1" applyAlignment="1">
      <alignment horizontal="center" vertical="center" wrapText="1"/>
    </xf>
    <xf numFmtId="0" fontId="40" fillId="13" borderId="67" xfId="0" applyFont="1" applyFill="1" applyBorder="1" applyAlignment="1">
      <alignment horizontal="center" vertical="center"/>
    </xf>
    <xf numFmtId="0" fontId="40" fillId="0" borderId="40" xfId="0" quotePrefix="1" applyFont="1" applyBorder="1" applyAlignment="1">
      <alignment horizontal="center" vertical="center"/>
    </xf>
    <xf numFmtId="0" fontId="40" fillId="0" borderId="67" xfId="0" applyFont="1" applyBorder="1" applyAlignment="1">
      <alignment horizontal="center" vertical="center" wrapText="1"/>
    </xf>
    <xf numFmtId="0" fontId="40" fillId="0" borderId="67" xfId="0" applyFont="1" applyBorder="1" applyAlignment="1">
      <alignment horizontal="center" vertical="center"/>
    </xf>
    <xf numFmtId="14" fontId="40" fillId="13" borderId="62" xfId="0" applyNumberFormat="1" applyFont="1" applyFill="1" applyBorder="1" applyAlignment="1">
      <alignment horizontal="center" vertical="center" wrapText="1"/>
    </xf>
    <xf numFmtId="0" fontId="40" fillId="13" borderId="62" xfId="0" applyFont="1" applyFill="1" applyBorder="1" applyAlignment="1">
      <alignment horizontal="center" vertical="center" wrapText="1"/>
    </xf>
    <xf numFmtId="0" fontId="40" fillId="13" borderId="62" xfId="0" applyFont="1" applyFill="1" applyBorder="1" applyAlignment="1">
      <alignment horizontal="left" vertical="center" wrapText="1"/>
    </xf>
    <xf numFmtId="0" fontId="45" fillId="0" borderId="67" xfId="0" applyFont="1" applyBorder="1" applyAlignment="1">
      <alignment horizontal="left" vertical="center"/>
    </xf>
    <xf numFmtId="0" fontId="45" fillId="0" borderId="61" xfId="0" applyFont="1" applyBorder="1" applyAlignment="1">
      <alignment horizontal="left" vertical="center"/>
    </xf>
    <xf numFmtId="0" fontId="41" fillId="0" borderId="86" xfId="0" applyFont="1" applyBorder="1" applyAlignment="1">
      <alignment vertical="center"/>
    </xf>
    <xf numFmtId="0" fontId="41" fillId="0" borderId="70" xfId="0" applyFont="1" applyBorder="1" applyAlignment="1">
      <alignment vertical="center"/>
    </xf>
    <xf numFmtId="0" fontId="42" fillId="0" borderId="0" xfId="0" applyFont="1"/>
    <xf numFmtId="0" fontId="40" fillId="0" borderId="67" xfId="0" applyFont="1" applyBorder="1" applyAlignment="1">
      <alignment horizontal="left" vertical="center" wrapText="1"/>
    </xf>
    <xf numFmtId="0" fontId="46" fillId="20" borderId="6" xfId="0" applyFont="1" applyFill="1" applyBorder="1" applyAlignment="1">
      <alignment vertical="center" wrapText="1"/>
    </xf>
    <xf numFmtId="49" fontId="46" fillId="20" borderId="6" xfId="0" applyNumberFormat="1" applyFont="1" applyFill="1" applyBorder="1" applyAlignment="1">
      <alignment vertical="center" wrapText="1"/>
    </xf>
    <xf numFmtId="0" fontId="40" fillId="0" borderId="40" xfId="0" quotePrefix="1" applyFont="1" applyBorder="1" applyAlignment="1">
      <alignment horizontal="left" vertical="center"/>
    </xf>
    <xf numFmtId="14" fontId="40" fillId="13" borderId="62" xfId="0" applyNumberFormat="1" applyFont="1" applyFill="1" applyBorder="1" applyAlignment="1">
      <alignment horizontal="left" vertical="center" wrapText="1"/>
    </xf>
    <xf numFmtId="0" fontId="40" fillId="13" borderId="67" xfId="0" applyFont="1" applyFill="1" applyBorder="1" applyAlignment="1">
      <alignment horizontal="left" vertical="center" wrapText="1"/>
    </xf>
    <xf numFmtId="0" fontId="46" fillId="20" borderId="6" xfId="0" applyFont="1" applyFill="1" applyBorder="1" applyAlignment="1">
      <alignment horizontal="center" vertical="center" wrapText="1"/>
    </xf>
    <xf numFmtId="0" fontId="45" fillId="0" borderId="40" xfId="0" applyFont="1" applyBorder="1" applyAlignment="1">
      <alignment horizontal="left" vertical="center"/>
    </xf>
    <xf numFmtId="0" fontId="45" fillId="0" borderId="41" xfId="0" applyFont="1" applyBorder="1" applyAlignment="1">
      <alignment horizontal="left" vertical="center"/>
    </xf>
    <xf numFmtId="0" fontId="45" fillId="0" borderId="42" xfId="0" applyFont="1" applyBorder="1" applyAlignment="1">
      <alignment horizontal="left" vertical="center"/>
    </xf>
    <xf numFmtId="0" fontId="40" fillId="0" borderId="0" xfId="0" quotePrefix="1" applyFont="1" applyAlignment="1">
      <alignment horizontal="center" vertical="center"/>
    </xf>
    <xf numFmtId="0" fontId="46" fillId="13" borderId="6" xfId="0" applyFont="1" applyFill="1" applyBorder="1" applyAlignment="1">
      <alignment vertical="center" wrapText="1"/>
    </xf>
    <xf numFmtId="0" fontId="43" fillId="0" borderId="0" xfId="0" applyFont="1"/>
    <xf numFmtId="0" fontId="0" fillId="0" borderId="0" xfId="0" applyAlignment="1">
      <alignment horizontal="right" vertical="center" wrapText="1"/>
    </xf>
    <xf numFmtId="0" fontId="45" fillId="0" borderId="61" xfId="0" quotePrefix="1" applyFont="1" applyBorder="1" applyAlignment="1">
      <alignment horizontal="left" vertical="center"/>
    </xf>
    <xf numFmtId="0" fontId="45" fillId="13" borderId="40" xfId="0" applyFont="1" applyFill="1" applyBorder="1" applyAlignment="1">
      <alignment horizontal="left" vertical="center"/>
    </xf>
    <xf numFmtId="0" fontId="44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36" fillId="0" borderId="62" xfId="0" applyFont="1" applyBorder="1" applyAlignment="1">
      <alignment horizontal="center" vertical="center"/>
    </xf>
    <xf numFmtId="0" fontId="36" fillId="0" borderId="62" xfId="0" applyFont="1" applyBorder="1" applyAlignment="1">
      <alignment horizontal="center" vertical="center" wrapText="1"/>
    </xf>
    <xf numFmtId="0" fontId="47" fillId="0" borderId="40" xfId="0" applyFont="1" applyBorder="1" applyAlignment="1">
      <alignment horizontal="center" vertical="center"/>
    </xf>
    <xf numFmtId="0" fontId="47" fillId="13" borderId="40" xfId="0" applyFont="1" applyFill="1" applyBorder="1" applyAlignment="1">
      <alignment horizontal="left" vertical="center"/>
    </xf>
    <xf numFmtId="0" fontId="35" fillId="13" borderId="40" xfId="0" applyFont="1" applyFill="1" applyBorder="1" applyAlignment="1">
      <alignment horizontal="center" vertical="center"/>
    </xf>
    <xf numFmtId="165" fontId="47" fillId="13" borderId="40" xfId="0" quotePrefix="1" applyNumberFormat="1" applyFont="1" applyFill="1" applyBorder="1" applyAlignment="1">
      <alignment horizontal="center" vertical="center"/>
    </xf>
    <xf numFmtId="0" fontId="47" fillId="0" borderId="62" xfId="0" applyFont="1" applyBorder="1" applyAlignment="1">
      <alignment horizontal="center" vertical="center" wrapText="1"/>
    </xf>
    <xf numFmtId="0" fontId="35" fillId="13" borderId="40" xfId="0" quotePrefix="1" applyFont="1" applyFill="1" applyBorder="1" applyAlignment="1">
      <alignment horizontal="center" vertical="center"/>
    </xf>
    <xf numFmtId="0" fontId="47" fillId="13" borderId="40" xfId="0" applyFont="1" applyFill="1" applyBorder="1" applyAlignment="1">
      <alignment horizontal="center" vertical="center" wrapText="1"/>
    </xf>
    <xf numFmtId="14" fontId="47" fillId="13" borderId="40" xfId="0" applyNumberFormat="1" applyFont="1" applyFill="1" applyBorder="1" applyAlignment="1">
      <alignment horizontal="center" vertical="center" wrapText="1"/>
    </xf>
    <xf numFmtId="0" fontId="47" fillId="0" borderId="40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47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0" fillId="0" borderId="40" xfId="0" applyBorder="1" applyAlignment="1">
      <alignment horizontal="center" vertical="center"/>
    </xf>
    <xf numFmtId="0" fontId="42" fillId="0" borderId="61" xfId="0" applyFont="1" applyBorder="1" applyAlignment="1">
      <alignment horizontal="center" vertical="center" wrapText="1"/>
    </xf>
    <xf numFmtId="0" fontId="42" fillId="0" borderId="91" xfId="0" applyFont="1" applyBorder="1" applyAlignment="1">
      <alignment horizontal="center" vertical="center" wrapText="1"/>
    </xf>
    <xf numFmtId="0" fontId="42" fillId="0" borderId="62" xfId="0" applyFont="1" applyBorder="1" applyAlignment="1">
      <alignment horizontal="center" vertical="center" wrapText="1"/>
    </xf>
    <xf numFmtId="0" fontId="42" fillId="0" borderId="40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 wrapText="1"/>
    </xf>
    <xf numFmtId="0" fontId="42" fillId="0" borderId="89" xfId="0" applyFont="1" applyBorder="1"/>
    <xf numFmtId="0" fontId="42" fillId="0" borderId="89" xfId="0" applyFont="1" applyBorder="1" applyAlignment="1">
      <alignment horizontal="center"/>
    </xf>
    <xf numFmtId="0" fontId="48" fillId="0" borderId="0" xfId="0" applyFont="1"/>
    <xf numFmtId="0" fontId="49" fillId="0" borderId="0" xfId="0" applyFont="1"/>
    <xf numFmtId="0" fontId="42" fillId="0" borderId="67" xfId="0" applyFont="1" applyBorder="1" applyAlignment="1">
      <alignment horizontal="center" vertical="center"/>
    </xf>
    <xf numFmtId="0" fontId="42" fillId="0" borderId="43" xfId="0" applyFont="1" applyBorder="1" applyAlignment="1">
      <alignment vertical="center"/>
    </xf>
    <xf numFmtId="0" fontId="42" fillId="0" borderId="67" xfId="0" applyFont="1" applyBorder="1" applyAlignment="1">
      <alignment vertical="center"/>
    </xf>
    <xf numFmtId="0" fontId="42" fillId="0" borderId="67" xfId="0" quotePrefix="1" applyFont="1" applyBorder="1" applyAlignment="1">
      <alignment horizontal="center" vertical="center"/>
    </xf>
    <xf numFmtId="0" fontId="42" fillId="0" borderId="137" xfId="0" applyFont="1" applyBorder="1" applyAlignment="1">
      <alignment horizontal="center" vertical="center"/>
    </xf>
    <xf numFmtId="0" fontId="42" fillId="0" borderId="138" xfId="0" applyFont="1" applyBorder="1" applyAlignment="1">
      <alignment vertical="center"/>
    </xf>
    <xf numFmtId="0" fontId="43" fillId="0" borderId="137" xfId="0" applyFont="1" applyBorder="1" applyAlignment="1">
      <alignment horizontal="center" vertical="center"/>
    </xf>
    <xf numFmtId="0" fontId="42" fillId="0" borderId="137" xfId="0" quotePrefix="1" applyFont="1" applyBorder="1" applyAlignment="1">
      <alignment vertical="center"/>
    </xf>
    <xf numFmtId="2" fontId="42" fillId="0" borderId="137" xfId="0" applyNumberFormat="1" applyFont="1" applyBorder="1" applyAlignment="1">
      <alignment horizontal="center" vertical="center"/>
    </xf>
    <xf numFmtId="0" fontId="42" fillId="0" borderId="137" xfId="0" applyFont="1" applyBorder="1" applyAlignment="1">
      <alignment vertical="center"/>
    </xf>
    <xf numFmtId="0" fontId="42" fillId="0" borderId="139" xfId="0" applyFont="1" applyBorder="1" applyAlignment="1">
      <alignment horizontal="center" vertical="center"/>
    </xf>
    <xf numFmtId="0" fontId="42" fillId="0" borderId="61" xfId="0" applyFont="1" applyBorder="1" applyAlignment="1">
      <alignment horizontal="center" vertical="center"/>
    </xf>
    <xf numFmtId="0" fontId="42" fillId="0" borderId="140" xfId="0" applyFont="1" applyBorder="1" applyAlignment="1">
      <alignment horizontal="center" vertical="center"/>
    </xf>
    <xf numFmtId="0" fontId="42" fillId="0" borderId="141" xfId="0" applyFont="1" applyBorder="1" applyAlignment="1">
      <alignment horizontal="center" vertical="center"/>
    </xf>
    <xf numFmtId="2" fontId="42" fillId="0" borderId="138" xfId="0" applyNumberFormat="1" applyFont="1" applyBorder="1" applyAlignment="1">
      <alignment horizontal="center" vertical="center"/>
    </xf>
    <xf numFmtId="0" fontId="42" fillId="0" borderId="61" xfId="0" applyFont="1" applyBorder="1" applyAlignment="1">
      <alignment vertical="center"/>
    </xf>
    <xf numFmtId="0" fontId="42" fillId="0" borderId="91" xfId="0" applyFont="1" applyBorder="1" applyAlignment="1">
      <alignment vertical="center"/>
    </xf>
    <xf numFmtId="0" fontId="43" fillId="0" borderId="62" xfId="0" quotePrefix="1" applyFont="1" applyBorder="1" applyAlignment="1">
      <alignment vertical="center"/>
    </xf>
    <xf numFmtId="2" fontId="42" fillId="0" borderId="140" xfId="0" applyNumberFormat="1" applyFont="1" applyBorder="1" applyAlignment="1">
      <alignment horizontal="center" vertical="center"/>
    </xf>
    <xf numFmtId="0" fontId="37" fillId="0" borderId="0" xfId="0" applyFont="1" applyAlignment="1">
      <alignment horizontal="left"/>
    </xf>
    <xf numFmtId="0" fontId="37" fillId="0" borderId="0" xfId="0" applyFont="1"/>
    <xf numFmtId="0" fontId="19" fillId="0" borderId="0" xfId="0" applyFont="1" applyAlignment="1">
      <alignment vertical="center"/>
    </xf>
    <xf numFmtId="0" fontId="18" fillId="0" borderId="40" xfId="2" quotePrefix="1" applyFont="1" applyBorder="1" applyAlignment="1">
      <alignment horizontal="center" vertical="center" wrapText="1"/>
    </xf>
    <xf numFmtId="1" fontId="8" fillId="0" borderId="39" xfId="0" applyNumberFormat="1" applyFont="1" applyBorder="1" applyAlignment="1">
      <alignment horizontal="center" vertical="center" wrapText="1" readingOrder="1"/>
    </xf>
    <xf numFmtId="0" fontId="8" fillId="13" borderId="129" xfId="0" applyFont="1" applyFill="1" applyBorder="1" applyAlignment="1">
      <alignment horizontal="center" vertical="center" wrapText="1"/>
    </xf>
    <xf numFmtId="0" fontId="8" fillId="13" borderId="16" xfId="0" quotePrefix="1" applyFont="1" applyFill="1" applyBorder="1" applyAlignment="1">
      <alignment horizontal="left" vertical="center" wrapText="1"/>
    </xf>
    <xf numFmtId="0" fontId="4" fillId="13" borderId="39" xfId="0" applyFont="1" applyFill="1" applyBorder="1" applyAlignment="1">
      <alignment horizontal="center" vertical="center" wrapText="1" readingOrder="1"/>
    </xf>
    <xf numFmtId="1" fontId="4" fillId="13" borderId="39" xfId="0" applyNumberFormat="1" applyFont="1" applyFill="1" applyBorder="1" applyAlignment="1">
      <alignment horizontal="center" vertical="center" wrapText="1" readingOrder="1"/>
    </xf>
    <xf numFmtId="0" fontId="8" fillId="13" borderId="39" xfId="0" applyFont="1" applyFill="1" applyBorder="1" applyAlignment="1">
      <alignment horizontal="center" vertical="center" wrapText="1" readingOrder="1"/>
    </xf>
    <xf numFmtId="164" fontId="8" fillId="13" borderId="39" xfId="0" applyNumberFormat="1" applyFont="1" applyFill="1" applyBorder="1" applyAlignment="1">
      <alignment horizontal="center" vertical="center" wrapText="1"/>
    </xf>
    <xf numFmtId="164" fontId="8" fillId="13" borderId="130" xfId="0" applyNumberFormat="1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 readingOrder="1"/>
    </xf>
    <xf numFmtId="0" fontId="4" fillId="18" borderId="39" xfId="0" applyFont="1" applyFill="1" applyBorder="1" applyAlignment="1">
      <alignment horizontal="left" vertical="center" wrapText="1" readingOrder="1"/>
    </xf>
    <xf numFmtId="0" fontId="4" fillId="0" borderId="16" xfId="0" applyFont="1" applyBorder="1" applyAlignment="1">
      <alignment horizontal="left" vertical="center"/>
    </xf>
    <xf numFmtId="0" fontId="4" fillId="0" borderId="132" xfId="0" applyFont="1" applyBorder="1" applyAlignment="1">
      <alignment horizontal="left" vertical="center"/>
    </xf>
    <xf numFmtId="1" fontId="4" fillId="0" borderId="39" xfId="0" applyNumberFormat="1" applyFont="1" applyBorder="1" applyAlignment="1">
      <alignment horizontal="center" vertical="center" wrapText="1" readingOrder="1"/>
    </xf>
    <xf numFmtId="1" fontId="4" fillId="0" borderId="39" xfId="0" applyNumberFormat="1" applyFont="1" applyBorder="1" applyAlignment="1">
      <alignment horizontal="center" vertical="center" wrapText="1"/>
    </xf>
    <xf numFmtId="0" fontId="16" fillId="18" borderId="0" xfId="0" applyFont="1" applyFill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43" fillId="0" borderId="69" xfId="0" applyFont="1" applyBorder="1" applyAlignment="1">
      <alignment vertical="center"/>
    </xf>
    <xf numFmtId="0" fontId="35" fillId="17" borderId="49" xfId="0" applyFont="1" applyFill="1" applyBorder="1" applyAlignment="1">
      <alignment vertical="center"/>
    </xf>
    <xf numFmtId="0" fontId="35" fillId="17" borderId="50" xfId="0" applyFont="1" applyFill="1" applyBorder="1" applyAlignment="1">
      <alignment vertical="center"/>
    </xf>
    <xf numFmtId="0" fontId="0" fillId="17" borderId="50" xfId="0" applyFill="1" applyBorder="1" applyAlignment="1">
      <alignment vertical="center"/>
    </xf>
    <xf numFmtId="0" fontId="35" fillId="17" borderId="50" xfId="0" applyFont="1" applyFill="1" applyBorder="1" applyAlignment="1">
      <alignment horizontal="center" vertical="center"/>
    </xf>
    <xf numFmtId="0" fontId="35" fillId="17" borderId="105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0" fillId="0" borderId="67" xfId="0" applyFont="1" applyBorder="1" applyAlignment="1">
      <alignment horizontal="left" vertical="center"/>
    </xf>
    <xf numFmtId="0" fontId="30" fillId="0" borderId="62" xfId="0" applyFont="1" applyBorder="1" applyAlignment="1">
      <alignment horizontal="left" vertical="center"/>
    </xf>
    <xf numFmtId="0" fontId="18" fillId="0" borderId="61" xfId="0" applyFont="1" applyBorder="1" applyAlignment="1">
      <alignment horizontal="left" vertical="center"/>
    </xf>
    <xf numFmtId="0" fontId="18" fillId="0" borderId="62" xfId="0" applyFont="1" applyBorder="1" applyAlignment="1">
      <alignment horizontal="center" vertical="center" wrapText="1"/>
    </xf>
    <xf numFmtId="0" fontId="18" fillId="0" borderId="67" xfId="0" applyFont="1" applyBorder="1" applyAlignment="1">
      <alignment horizontal="center" vertical="center"/>
    </xf>
    <xf numFmtId="0" fontId="18" fillId="0" borderId="62" xfId="0" quotePrefix="1" applyFont="1" applyBorder="1" applyAlignment="1">
      <alignment horizontal="center" vertical="center"/>
    </xf>
    <xf numFmtId="0" fontId="18" fillId="0" borderId="67" xfId="0" applyFont="1" applyBorder="1" applyAlignment="1">
      <alignment horizontal="left" vertical="center"/>
    </xf>
    <xf numFmtId="0" fontId="18" fillId="0" borderId="67" xfId="0" applyFont="1" applyBorder="1" applyAlignment="1">
      <alignment horizontal="center" vertical="center" wrapText="1"/>
    </xf>
    <xf numFmtId="1" fontId="4" fillId="0" borderId="37" xfId="0" applyNumberFormat="1" applyFont="1" applyBorder="1" applyAlignment="1">
      <alignment horizontal="center" vertical="center" wrapText="1" readingOrder="1"/>
    </xf>
    <xf numFmtId="0" fontId="20" fillId="19" borderId="16" xfId="0" applyFont="1" applyFill="1" applyBorder="1" applyAlignment="1">
      <alignment horizontal="left" vertical="center" wrapText="1"/>
    </xf>
    <xf numFmtId="0" fontId="20" fillId="19" borderId="39" xfId="0" applyFont="1" applyFill="1" applyBorder="1" applyAlignment="1">
      <alignment horizontal="center" vertical="center" wrapText="1" readingOrder="1"/>
    </xf>
    <xf numFmtId="0" fontId="53" fillId="19" borderId="129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1" fillId="0" borderId="67" xfId="0" applyFont="1" applyBorder="1" applyAlignment="1">
      <alignment horizontal="center" vertical="center" wrapText="1"/>
    </xf>
    <xf numFmtId="0" fontId="41" fillId="0" borderId="62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1" fillId="0" borderId="67" xfId="0" applyFont="1" applyBorder="1" applyAlignment="1">
      <alignment horizontal="center" vertical="center"/>
    </xf>
    <xf numFmtId="0" fontId="41" fillId="0" borderId="61" xfId="0" applyFont="1" applyBorder="1" applyAlignment="1">
      <alignment horizontal="center" vertical="center"/>
    </xf>
    <xf numFmtId="0" fontId="41" fillId="0" borderId="62" xfId="0" applyFont="1" applyBorder="1" applyAlignment="1">
      <alignment horizontal="center" vertical="center"/>
    </xf>
    <xf numFmtId="0" fontId="41" fillId="0" borderId="61" xfId="0" applyFont="1" applyBorder="1" applyAlignment="1">
      <alignment horizontal="center" vertical="center" wrapText="1"/>
    </xf>
    <xf numFmtId="0" fontId="41" fillId="0" borderId="69" xfId="0" applyFont="1" applyBorder="1" applyAlignment="1">
      <alignment horizontal="center" vertical="center" wrapText="1"/>
    </xf>
    <xf numFmtId="0" fontId="43" fillId="0" borderId="69" xfId="0" applyFont="1" applyBorder="1" applyAlignment="1">
      <alignment horizontal="left" vertical="center"/>
    </xf>
    <xf numFmtId="0" fontId="43" fillId="0" borderId="86" xfId="0" applyFont="1" applyBorder="1" applyAlignment="1">
      <alignment horizontal="left" vertical="center"/>
    </xf>
    <xf numFmtId="0" fontId="43" fillId="0" borderId="70" xfId="0" applyFont="1" applyBorder="1" applyAlignment="1">
      <alignment horizontal="left" vertical="center"/>
    </xf>
    <xf numFmtId="0" fontId="43" fillId="0" borderId="69" xfId="0" quotePrefix="1" applyFont="1" applyBorder="1" applyAlignment="1">
      <alignment horizontal="left" vertical="center" wrapText="1"/>
    </xf>
    <xf numFmtId="0" fontId="43" fillId="0" borderId="86" xfId="0" quotePrefix="1" applyFont="1" applyBorder="1" applyAlignment="1">
      <alignment horizontal="left" vertical="center" wrapText="1"/>
    </xf>
    <xf numFmtId="0" fontId="43" fillId="0" borderId="70" xfId="0" quotePrefix="1" applyFont="1" applyBorder="1" applyAlignment="1">
      <alignment horizontal="left" vertical="center" wrapText="1"/>
    </xf>
    <xf numFmtId="0" fontId="43" fillId="0" borderId="69" xfId="0" applyFont="1" applyBorder="1" applyAlignment="1">
      <alignment horizontal="left" vertical="center" wrapText="1"/>
    </xf>
    <xf numFmtId="0" fontId="43" fillId="0" borderId="86" xfId="0" applyFont="1" applyBorder="1" applyAlignment="1">
      <alignment horizontal="left" vertical="center" wrapText="1"/>
    </xf>
    <xf numFmtId="0" fontId="43" fillId="0" borderId="70" xfId="0" applyFont="1" applyBorder="1" applyAlignment="1">
      <alignment horizontal="left" vertical="center" wrapText="1"/>
    </xf>
    <xf numFmtId="0" fontId="36" fillId="0" borderId="0" xfId="0" applyFont="1" applyAlignment="1">
      <alignment horizontal="center" vertical="center"/>
    </xf>
    <xf numFmtId="0" fontId="43" fillId="0" borderId="69" xfId="0" quotePrefix="1" applyFont="1" applyBorder="1" applyAlignment="1">
      <alignment horizontal="left" vertical="center"/>
    </xf>
    <xf numFmtId="0" fontId="43" fillId="0" borderId="86" xfId="0" quotePrefix="1" applyFont="1" applyBorder="1" applyAlignment="1">
      <alignment horizontal="left" vertical="center"/>
    </xf>
    <xf numFmtId="0" fontId="43" fillId="0" borderId="70" xfId="0" quotePrefix="1" applyFont="1" applyBorder="1" applyAlignment="1">
      <alignment horizontal="left" vertical="center"/>
    </xf>
    <xf numFmtId="0" fontId="0" fillId="0" borderId="0" xfId="0" applyAlignment="1">
      <alignment horizontal="right" vertical="center" wrapText="1"/>
    </xf>
    <xf numFmtId="0" fontId="41" fillId="0" borderId="69" xfId="0" applyFont="1" applyBorder="1" applyAlignment="1">
      <alignment horizontal="center" vertical="center"/>
    </xf>
    <xf numFmtId="0" fontId="41" fillId="0" borderId="70" xfId="0" applyFont="1" applyBorder="1" applyAlignment="1">
      <alignment horizontal="center" vertical="center"/>
    </xf>
    <xf numFmtId="0" fontId="41" fillId="0" borderId="86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36" fillId="0" borderId="69" xfId="0" applyFont="1" applyBorder="1" applyAlignment="1">
      <alignment horizontal="center" vertical="center"/>
    </xf>
    <xf numFmtId="0" fontId="36" fillId="0" borderId="70" xfId="0" applyFont="1" applyBorder="1" applyAlignment="1">
      <alignment horizontal="center" vertical="center"/>
    </xf>
    <xf numFmtId="0" fontId="36" fillId="0" borderId="67" xfId="0" applyFont="1" applyBorder="1" applyAlignment="1">
      <alignment horizontal="center" vertical="center" wrapText="1"/>
    </xf>
    <xf numFmtId="0" fontId="36" fillId="0" borderId="62" xfId="0" applyFont="1" applyBorder="1" applyAlignment="1">
      <alignment horizontal="center" vertical="center" wrapText="1"/>
    </xf>
    <xf numFmtId="0" fontId="36" fillId="0" borderId="67" xfId="0" applyFont="1" applyBorder="1" applyAlignment="1">
      <alignment horizontal="center" vertical="center"/>
    </xf>
    <xf numFmtId="0" fontId="36" fillId="0" borderId="62" xfId="0" applyFont="1" applyBorder="1" applyAlignment="1">
      <alignment horizontal="center" vertical="center"/>
    </xf>
    <xf numFmtId="0" fontId="36" fillId="0" borderId="61" xfId="0" applyFont="1" applyBorder="1" applyAlignment="1">
      <alignment horizontal="center" vertical="center"/>
    </xf>
    <xf numFmtId="0" fontId="36" fillId="0" borderId="61" xfId="0" applyFont="1" applyBorder="1" applyAlignment="1">
      <alignment horizontal="center" vertical="center" wrapText="1"/>
    </xf>
    <xf numFmtId="0" fontId="36" fillId="0" borderId="69" xfId="0" applyFont="1" applyBorder="1" applyAlignment="1">
      <alignment horizontal="center" vertical="center" wrapText="1"/>
    </xf>
    <xf numFmtId="0" fontId="36" fillId="0" borderId="86" xfId="0" applyFont="1" applyBorder="1" applyAlignment="1">
      <alignment horizontal="center" vertical="center" wrapText="1"/>
    </xf>
    <xf numFmtId="0" fontId="42" fillId="0" borderId="67" xfId="0" applyFont="1" applyBorder="1" applyAlignment="1">
      <alignment horizontal="center" vertical="center" wrapText="1"/>
    </xf>
    <xf numFmtId="0" fontId="42" fillId="0" borderId="61" xfId="0" applyFont="1" applyBorder="1" applyAlignment="1">
      <alignment horizontal="center" vertical="center" wrapText="1"/>
    </xf>
    <xf numFmtId="0" fontId="42" fillId="0" borderId="62" xfId="0" applyFont="1" applyBorder="1" applyAlignment="1">
      <alignment horizontal="center" vertical="center" wrapText="1"/>
    </xf>
    <xf numFmtId="0" fontId="4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0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2" fillId="0" borderId="43" xfId="0" applyFont="1" applyBorder="1" applyAlignment="1">
      <alignment horizontal="center" vertical="center" wrapText="1"/>
    </xf>
    <xf numFmtId="0" fontId="42" fillId="0" borderId="91" xfId="0" applyFont="1" applyBorder="1" applyAlignment="1">
      <alignment horizontal="center" vertical="center" wrapText="1"/>
    </xf>
    <xf numFmtId="0" fontId="42" fillId="0" borderId="7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1" fontId="3" fillId="0" borderId="9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8" fillId="0" borderId="40" xfId="0" applyFont="1" applyBorder="1" applyAlignment="1">
      <alignment vertical="center" wrapText="1"/>
    </xf>
    <xf numFmtId="0" fontId="8" fillId="4" borderId="40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125" xfId="0" applyFont="1" applyBorder="1" applyAlignment="1">
      <alignment horizontal="center" vertical="center" wrapText="1" readingOrder="1"/>
    </xf>
    <xf numFmtId="0" fontId="22" fillId="0" borderId="38" xfId="0" applyFont="1" applyBorder="1" applyAlignment="1">
      <alignment horizontal="center" vertical="center"/>
    </xf>
    <xf numFmtId="0" fontId="22" fillId="0" borderId="126" xfId="0" applyFont="1" applyBorder="1" applyAlignment="1">
      <alignment horizontal="center" vertical="center"/>
    </xf>
    <xf numFmtId="0" fontId="4" fillId="0" borderId="127" xfId="0" applyFont="1" applyBorder="1" applyAlignment="1">
      <alignment horizontal="center" vertical="center" wrapText="1" readingOrder="1"/>
    </xf>
    <xf numFmtId="0" fontId="22" fillId="0" borderId="16" xfId="0" applyFont="1" applyBorder="1" applyAlignment="1">
      <alignment horizontal="center" vertical="center"/>
    </xf>
    <xf numFmtId="0" fontId="22" fillId="0" borderId="128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vertical="center"/>
    </xf>
    <xf numFmtId="0" fontId="4" fillId="0" borderId="113" xfId="0" applyFont="1" applyBorder="1" applyAlignment="1">
      <alignment horizontal="center" vertical="center" wrapText="1" readingOrder="1"/>
    </xf>
    <xf numFmtId="0" fontId="22" fillId="0" borderId="118" xfId="0" applyFont="1" applyBorder="1" applyAlignment="1">
      <alignment horizontal="center" vertical="center"/>
    </xf>
    <xf numFmtId="0" fontId="22" fillId="0" borderId="120" xfId="0" applyFont="1" applyBorder="1" applyAlignment="1">
      <alignment horizontal="center" vertical="center"/>
    </xf>
    <xf numFmtId="0" fontId="4" fillId="0" borderId="114" xfId="0" applyFont="1" applyBorder="1" applyAlignment="1">
      <alignment horizontal="center" vertical="center" wrapText="1" readingOrder="1"/>
    </xf>
    <xf numFmtId="0" fontId="22" fillId="0" borderId="9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4" fillId="0" borderId="115" xfId="0" applyFont="1" applyBorder="1" applyAlignment="1">
      <alignment horizontal="center" vertical="center" wrapText="1" readingOrder="1"/>
    </xf>
    <xf numFmtId="0" fontId="22" fillId="0" borderId="116" xfId="0" applyFont="1" applyBorder="1" applyAlignment="1">
      <alignment horizontal="center" vertical="center"/>
    </xf>
    <xf numFmtId="0" fontId="22" fillId="0" borderId="11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 readingOrder="1"/>
    </xf>
    <xf numFmtId="0" fontId="22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119" xfId="0" applyFont="1" applyBorder="1" applyAlignment="1">
      <alignment horizontal="center" vertical="center"/>
    </xf>
    <xf numFmtId="0" fontId="18" fillId="0" borderId="13" xfId="2" applyFont="1" applyAlignment="1">
      <alignment horizontal="center" vertical="center"/>
    </xf>
    <xf numFmtId="0" fontId="31" fillId="0" borderId="67" xfId="2" quotePrefix="1" applyFont="1" applyBorder="1" applyAlignment="1">
      <alignment horizontal="left" vertical="center"/>
    </xf>
    <xf numFmtId="0" fontId="31" fillId="0" borderId="62" xfId="2" quotePrefix="1" applyFont="1" applyBorder="1" applyAlignment="1">
      <alignment horizontal="left" vertical="center"/>
    </xf>
    <xf numFmtId="0" fontId="18" fillId="0" borderId="68" xfId="2" quotePrefix="1" applyFont="1" applyBorder="1" applyAlignment="1">
      <alignment horizontal="center" vertical="center"/>
    </xf>
    <xf numFmtId="0" fontId="18" fillId="0" borderId="65" xfId="2" quotePrefix="1" applyFont="1" applyBorder="1" applyAlignment="1">
      <alignment horizontal="center" vertical="center"/>
    </xf>
    <xf numFmtId="0" fontId="31" fillId="0" borderId="67" xfId="2" quotePrefix="1" applyFont="1" applyBorder="1" applyAlignment="1">
      <alignment horizontal="center" vertical="center"/>
    </xf>
    <xf numFmtId="0" fontId="31" fillId="0" borderId="62" xfId="2" quotePrefix="1" applyFont="1" applyBorder="1" applyAlignment="1">
      <alignment horizontal="center" vertical="center"/>
    </xf>
    <xf numFmtId="0" fontId="18" fillId="0" borderId="67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/>
    </xf>
    <xf numFmtId="0" fontId="18" fillId="0" borderId="62" xfId="2" applyFont="1" applyBorder="1" applyAlignment="1">
      <alignment horizontal="center" vertical="center"/>
    </xf>
    <xf numFmtId="165" fontId="18" fillId="0" borderId="67" xfId="2" applyNumberFormat="1" applyFont="1" applyBorder="1" applyAlignment="1">
      <alignment horizontal="center" vertical="center"/>
    </xf>
    <xf numFmtId="165" fontId="18" fillId="0" borderId="62" xfId="2" applyNumberFormat="1" applyFont="1" applyBorder="1" applyAlignment="1">
      <alignment horizontal="center" vertical="center"/>
    </xf>
    <xf numFmtId="0" fontId="18" fillId="0" borderId="40" xfId="2" applyFont="1" applyBorder="1" applyAlignment="1">
      <alignment horizontal="center" vertical="center"/>
    </xf>
    <xf numFmtId="0" fontId="18" fillId="0" borderId="76" xfId="2" applyFont="1" applyBorder="1" applyAlignment="1">
      <alignment horizontal="center" vertical="center"/>
    </xf>
    <xf numFmtId="165" fontId="30" fillId="0" borderId="40" xfId="0" applyNumberFormat="1" applyFont="1" applyBorder="1" applyAlignment="1">
      <alignment horizontal="center" vertical="center"/>
    </xf>
    <xf numFmtId="165" fontId="30" fillId="0" borderId="76" xfId="0" applyNumberFormat="1" applyFont="1" applyBorder="1" applyAlignment="1">
      <alignment horizontal="center" vertical="center"/>
    </xf>
    <xf numFmtId="0" fontId="31" fillId="0" borderId="40" xfId="2" quotePrefix="1" applyFont="1" applyBorder="1" applyAlignment="1">
      <alignment horizontal="left" vertical="center"/>
    </xf>
    <xf numFmtId="0" fontId="31" fillId="0" borderId="76" xfId="2" quotePrefix="1" applyFont="1" applyBorder="1" applyAlignment="1">
      <alignment horizontal="left" vertical="center"/>
    </xf>
    <xf numFmtId="0" fontId="18" fillId="0" borderId="66" xfId="2" applyFont="1" applyBorder="1" applyAlignment="1">
      <alignment horizontal="center" vertical="center"/>
    </xf>
    <xf numFmtId="0" fontId="18" fillId="0" borderId="75" xfId="2" applyFont="1" applyBorder="1" applyAlignment="1">
      <alignment horizontal="center" vertical="center"/>
    </xf>
    <xf numFmtId="0" fontId="18" fillId="0" borderId="40" xfId="2" applyFont="1" applyBorder="1" applyAlignment="1">
      <alignment horizontal="left" vertical="center" wrapText="1"/>
    </xf>
    <xf numFmtId="0" fontId="18" fillId="0" borderId="76" xfId="2" applyFont="1" applyBorder="1" applyAlignment="1">
      <alignment horizontal="left" vertical="center" wrapText="1"/>
    </xf>
    <xf numFmtId="0" fontId="18" fillId="0" borderId="77" xfId="2" applyFont="1" applyBorder="1" applyAlignment="1">
      <alignment horizontal="center" vertical="center"/>
    </xf>
    <xf numFmtId="165" fontId="18" fillId="0" borderId="40" xfId="2" applyNumberFormat="1" applyFont="1" applyBorder="1" applyAlignment="1">
      <alignment horizontal="center" vertical="center"/>
    </xf>
    <xf numFmtId="165" fontId="18" fillId="0" borderId="76" xfId="2" applyNumberFormat="1" applyFont="1" applyBorder="1" applyAlignment="1">
      <alignment horizontal="center" vertical="center"/>
    </xf>
    <xf numFmtId="0" fontId="18" fillId="0" borderId="67" xfId="2" quotePrefix="1" applyFont="1" applyBorder="1" applyAlignment="1">
      <alignment horizontal="center" vertical="center"/>
    </xf>
    <xf numFmtId="0" fontId="18" fillId="0" borderId="62" xfId="2" quotePrefix="1" applyFont="1" applyBorder="1" applyAlignment="1">
      <alignment horizontal="center" vertical="center"/>
    </xf>
    <xf numFmtId="0" fontId="18" fillId="0" borderId="64" xfId="2" applyFont="1" applyBorder="1" applyAlignment="1">
      <alignment horizontal="center" vertical="center"/>
    </xf>
    <xf numFmtId="0" fontId="18" fillId="0" borderId="67" xfId="2" applyFont="1" applyBorder="1" applyAlignment="1">
      <alignment horizontal="left" vertical="center"/>
    </xf>
    <xf numFmtId="0" fontId="18" fillId="0" borderId="62" xfId="2" applyFont="1" applyBorder="1" applyAlignment="1">
      <alignment horizontal="left" vertical="center"/>
    </xf>
    <xf numFmtId="0" fontId="18" fillId="0" borderId="40" xfId="2" quotePrefix="1" applyFont="1" applyBorder="1" applyAlignment="1">
      <alignment horizontal="center" vertical="center"/>
    </xf>
    <xf numFmtId="0" fontId="18" fillId="0" borderId="76" xfId="2" quotePrefix="1" applyFont="1" applyBorder="1" applyAlignment="1">
      <alignment horizontal="center" vertical="center"/>
    </xf>
    <xf numFmtId="0" fontId="31" fillId="0" borderId="77" xfId="2" quotePrefix="1" applyFont="1" applyBorder="1" applyAlignment="1">
      <alignment horizontal="center" vertical="center"/>
    </xf>
    <xf numFmtId="0" fontId="18" fillId="0" borderId="43" xfId="2" applyFont="1" applyBorder="1" applyAlignment="1">
      <alignment horizontal="left" vertical="center"/>
    </xf>
    <xf numFmtId="0" fontId="18" fillId="0" borderId="72" xfId="2" applyFont="1" applyBorder="1" applyAlignment="1">
      <alignment horizontal="left" vertical="center"/>
    </xf>
    <xf numFmtId="0" fontId="18" fillId="0" borderId="43" xfId="2" applyFont="1" applyBorder="1" applyAlignment="1">
      <alignment horizontal="center" vertical="center"/>
    </xf>
    <xf numFmtId="0" fontId="18" fillId="0" borderId="72" xfId="2" applyFont="1" applyBorder="1" applyAlignment="1">
      <alignment horizontal="center" vertical="center"/>
    </xf>
    <xf numFmtId="14" fontId="18" fillId="0" borderId="43" xfId="2" applyNumberFormat="1" applyFont="1" applyBorder="1" applyAlignment="1">
      <alignment horizontal="center" vertical="center"/>
    </xf>
    <xf numFmtId="0" fontId="18" fillId="0" borderId="61" xfId="2" applyFont="1" applyBorder="1" applyAlignment="1">
      <alignment horizontal="center" vertical="center"/>
    </xf>
    <xf numFmtId="165" fontId="18" fillId="0" borderId="67" xfId="2" quotePrefix="1" applyNumberFormat="1" applyFont="1" applyBorder="1" applyAlignment="1">
      <alignment horizontal="center" vertical="center"/>
    </xf>
    <xf numFmtId="165" fontId="18" fillId="0" borderId="62" xfId="2" quotePrefix="1" applyNumberFormat="1" applyFont="1" applyBorder="1" applyAlignment="1">
      <alignment horizontal="center" vertical="center"/>
    </xf>
    <xf numFmtId="165" fontId="18" fillId="0" borderId="61" xfId="2" applyNumberFormat="1" applyFont="1" applyBorder="1" applyAlignment="1">
      <alignment horizontal="center" vertical="center"/>
    </xf>
    <xf numFmtId="0" fontId="18" fillId="0" borderId="61" xfId="2" quotePrefix="1" applyFont="1" applyBorder="1" applyAlignment="1">
      <alignment horizontal="center" vertical="center"/>
    </xf>
    <xf numFmtId="0" fontId="18" fillId="0" borderId="61" xfId="2" applyFont="1" applyBorder="1" applyAlignment="1">
      <alignment horizontal="left" vertical="center"/>
    </xf>
    <xf numFmtId="14" fontId="30" fillId="0" borderId="67" xfId="0" applyNumberFormat="1" applyFont="1" applyBorder="1" applyAlignment="1">
      <alignment horizontal="center" vertical="center"/>
    </xf>
    <xf numFmtId="14" fontId="30" fillId="0" borderId="61" xfId="0" applyNumberFormat="1" applyFont="1" applyBorder="1" applyAlignment="1">
      <alignment horizontal="center" vertical="center"/>
    </xf>
    <xf numFmtId="165" fontId="30" fillId="0" borderId="67" xfId="0" applyNumberFormat="1" applyFont="1" applyBorder="1" applyAlignment="1">
      <alignment horizontal="center" vertical="center"/>
    </xf>
    <xf numFmtId="165" fontId="30" fillId="0" borderId="62" xfId="0" applyNumberFormat="1" applyFont="1" applyBorder="1" applyAlignment="1">
      <alignment horizontal="center" vertical="center"/>
    </xf>
    <xf numFmtId="165" fontId="18" fillId="0" borderId="42" xfId="2" applyNumberFormat="1" applyFont="1" applyBorder="1" applyAlignment="1">
      <alignment horizontal="center" vertical="center"/>
    </xf>
    <xf numFmtId="165" fontId="18" fillId="0" borderId="41" xfId="2" applyNumberFormat="1" applyFont="1" applyBorder="1" applyAlignment="1">
      <alignment horizontal="center" vertical="center"/>
    </xf>
    <xf numFmtId="0" fontId="30" fillId="0" borderId="67" xfId="0" applyFont="1" applyBorder="1" applyAlignment="1">
      <alignment horizontal="left" vertical="center"/>
    </xf>
    <xf numFmtId="0" fontId="30" fillId="0" borderId="62" xfId="0" applyFont="1" applyBorder="1" applyAlignment="1">
      <alignment horizontal="left" vertical="center"/>
    </xf>
    <xf numFmtId="49" fontId="30" fillId="0" borderId="67" xfId="0" applyNumberFormat="1" applyFont="1" applyBorder="1" applyAlignment="1">
      <alignment horizontal="center" vertical="center"/>
    </xf>
    <xf numFmtId="49" fontId="30" fillId="0" borderId="62" xfId="0" applyNumberFormat="1" applyFont="1" applyBorder="1" applyAlignment="1">
      <alignment horizontal="center" vertical="center"/>
    </xf>
    <xf numFmtId="165" fontId="18" fillId="0" borderId="71" xfId="2" applyNumberFormat="1" applyFont="1" applyBorder="1" applyAlignment="1">
      <alignment horizontal="center" vertical="center"/>
    </xf>
    <xf numFmtId="0" fontId="18" fillId="0" borderId="42" xfId="2" applyFont="1" applyBorder="1" applyAlignment="1">
      <alignment horizontal="center" vertical="center"/>
    </xf>
    <xf numFmtId="0" fontId="18" fillId="0" borderId="41" xfId="2" applyFont="1" applyBorder="1" applyAlignment="1">
      <alignment horizontal="center" vertical="center"/>
    </xf>
    <xf numFmtId="0" fontId="18" fillId="0" borderId="61" xfId="2" applyFont="1" applyBorder="1" applyAlignment="1">
      <alignment horizontal="center" vertical="center" wrapText="1"/>
    </xf>
    <xf numFmtId="165" fontId="18" fillId="0" borderId="67" xfId="2" applyNumberFormat="1" applyFont="1" applyBorder="1" applyAlignment="1">
      <alignment horizontal="center" vertical="center" wrapText="1"/>
    </xf>
    <xf numFmtId="165" fontId="18" fillId="0" borderId="61" xfId="2" applyNumberFormat="1" applyFont="1" applyBorder="1" applyAlignment="1">
      <alignment horizontal="center" vertical="center" wrapText="1"/>
    </xf>
    <xf numFmtId="14" fontId="18" fillId="0" borderId="67" xfId="1" applyNumberFormat="1" applyFont="1" applyBorder="1" applyAlignment="1">
      <alignment horizontal="center" vertical="center" wrapText="1"/>
    </xf>
    <xf numFmtId="14" fontId="18" fillId="0" borderId="61" xfId="1" applyNumberFormat="1" applyFont="1" applyBorder="1" applyAlignment="1">
      <alignment horizontal="center" vertical="center" wrapText="1"/>
    </xf>
    <xf numFmtId="14" fontId="18" fillId="0" borderId="67" xfId="2" applyNumberFormat="1" applyFont="1" applyBorder="1" applyAlignment="1">
      <alignment horizontal="center" vertical="center"/>
    </xf>
    <xf numFmtId="14" fontId="18" fillId="0" borderId="62" xfId="2" applyNumberFormat="1" applyFont="1" applyBorder="1" applyAlignment="1">
      <alignment horizontal="center" vertical="center"/>
    </xf>
    <xf numFmtId="14" fontId="18" fillId="0" borderId="68" xfId="2" quotePrefix="1" applyNumberFormat="1" applyFont="1" applyBorder="1" applyAlignment="1">
      <alignment horizontal="center" vertical="center"/>
    </xf>
    <xf numFmtId="0" fontId="18" fillId="0" borderId="67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left" vertical="center" wrapText="1"/>
    </xf>
    <xf numFmtId="14" fontId="18" fillId="0" borderId="68" xfId="2" applyNumberFormat="1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7" xfId="3" quotePrefix="1" applyFont="1" applyBorder="1" applyAlignment="1">
      <alignment horizontal="center" vertical="center"/>
    </xf>
    <xf numFmtId="0" fontId="18" fillId="0" borderId="62" xfId="3" quotePrefix="1" applyFont="1" applyBorder="1" applyAlignment="1">
      <alignment horizontal="center" vertical="center"/>
    </xf>
    <xf numFmtId="0" fontId="18" fillId="0" borderId="67" xfId="3" applyFont="1" applyBorder="1" applyAlignment="1">
      <alignment horizontal="center" vertical="center"/>
    </xf>
    <xf numFmtId="0" fontId="18" fillId="0" borderId="62" xfId="3" applyFont="1" applyBorder="1" applyAlignment="1">
      <alignment horizontal="center" vertical="center"/>
    </xf>
    <xf numFmtId="0" fontId="18" fillId="0" borderId="68" xfId="2" applyFont="1" applyBorder="1" applyAlignment="1">
      <alignment horizontal="center" vertical="center" wrapText="1"/>
    </xf>
    <xf numFmtId="14" fontId="18" fillId="0" borderId="68" xfId="2" applyNumberFormat="1" applyFont="1" applyBorder="1" applyAlignment="1">
      <alignment horizontal="center" vertical="center"/>
    </xf>
    <xf numFmtId="0" fontId="18" fillId="0" borderId="65" xfId="2" applyFont="1" applyBorder="1" applyAlignment="1">
      <alignment horizontal="center" vertical="center"/>
    </xf>
    <xf numFmtId="0" fontId="18" fillId="0" borderId="40" xfId="2" applyFont="1" applyBorder="1" applyAlignment="1">
      <alignment horizontal="left" vertical="center"/>
    </xf>
    <xf numFmtId="0" fontId="18" fillId="0" borderId="69" xfId="2" applyFont="1" applyBorder="1" applyAlignment="1">
      <alignment horizontal="center" vertical="center"/>
    </xf>
    <xf numFmtId="0" fontId="18" fillId="0" borderId="70" xfId="2" applyFont="1" applyBorder="1" applyAlignment="1">
      <alignment horizontal="center" vertical="center" wrapText="1"/>
    </xf>
    <xf numFmtId="14" fontId="18" fillId="0" borderId="40" xfId="2" applyNumberFormat="1" applyFont="1" applyBorder="1" applyAlignment="1">
      <alignment horizontal="center" vertical="center"/>
    </xf>
    <xf numFmtId="165" fontId="18" fillId="0" borderId="68" xfId="2" applyNumberFormat="1" applyFont="1" applyBorder="1" applyAlignment="1">
      <alignment horizontal="center" vertical="center" wrapText="1"/>
    </xf>
    <xf numFmtId="165" fontId="18" fillId="0" borderId="65" xfId="2" applyNumberFormat="1" applyFont="1" applyBorder="1" applyAlignment="1">
      <alignment horizontal="center" vertical="center" wrapText="1"/>
    </xf>
    <xf numFmtId="0" fontId="29" fillId="0" borderId="50" xfId="2" applyFont="1" applyBorder="1" applyAlignment="1">
      <alignment horizontal="center" vertical="center"/>
    </xf>
    <xf numFmtId="0" fontId="29" fillId="0" borderId="56" xfId="2" applyFont="1" applyBorder="1" applyAlignment="1">
      <alignment horizontal="center" vertical="center"/>
    </xf>
    <xf numFmtId="14" fontId="18" fillId="0" borderId="63" xfId="2" applyNumberFormat="1" applyFont="1" applyBorder="1" applyAlignment="1">
      <alignment horizontal="center" vertical="center" wrapText="1"/>
    </xf>
    <xf numFmtId="0" fontId="18" fillId="0" borderId="83" xfId="2" applyFont="1" applyBorder="1" applyAlignment="1">
      <alignment horizontal="center" vertical="center" wrapText="1"/>
    </xf>
    <xf numFmtId="0" fontId="25" fillId="0" borderId="13" xfId="2" applyFont="1" applyAlignment="1">
      <alignment horizontal="center" wrapText="1"/>
    </xf>
    <xf numFmtId="0" fontId="26" fillId="16" borderId="46" xfId="2" applyFont="1" applyFill="1" applyBorder="1" applyAlignment="1">
      <alignment horizontal="center" vertical="center"/>
    </xf>
    <xf numFmtId="0" fontId="26" fillId="16" borderId="47" xfId="2" applyFont="1" applyFill="1" applyBorder="1" applyAlignment="1">
      <alignment horizontal="center" vertical="center"/>
    </xf>
    <xf numFmtId="0" fontId="26" fillId="16" borderId="48" xfId="2" applyFont="1" applyFill="1" applyBorder="1" applyAlignment="1">
      <alignment horizontal="center" vertical="center"/>
    </xf>
    <xf numFmtId="0" fontId="25" fillId="0" borderId="13" xfId="2" applyFont="1" applyAlignment="1">
      <alignment horizontal="center"/>
    </xf>
    <xf numFmtId="0" fontId="27" fillId="0" borderId="13" xfId="2" applyFont="1" applyAlignment="1">
      <alignment horizontal="center"/>
    </xf>
    <xf numFmtId="0" fontId="29" fillId="0" borderId="53" xfId="2" applyFont="1" applyBorder="1" applyAlignment="1">
      <alignment horizontal="center" vertical="center" wrapText="1"/>
    </xf>
    <xf numFmtId="0" fontId="29" fillId="0" borderId="57" xfId="2" applyFont="1" applyBorder="1" applyAlignment="1">
      <alignment horizontal="center" vertical="center" wrapText="1"/>
    </xf>
    <xf numFmtId="0" fontId="29" fillId="0" borderId="54" xfId="2" applyFont="1" applyBorder="1" applyAlignment="1">
      <alignment horizontal="center" vertical="center"/>
    </xf>
    <xf numFmtId="0" fontId="29" fillId="0" borderId="58" xfId="2" applyFont="1" applyBorder="1" applyAlignment="1">
      <alignment horizontal="center" vertical="center"/>
    </xf>
    <xf numFmtId="0" fontId="18" fillId="0" borderId="60" xfId="2" applyFont="1" applyBorder="1" applyAlignment="1">
      <alignment horizontal="center" vertical="center"/>
    </xf>
    <xf numFmtId="0" fontId="18" fillId="0" borderId="61" xfId="2" applyFont="1" applyBorder="1" applyAlignment="1">
      <alignment horizontal="left" vertical="center" wrapText="1"/>
    </xf>
    <xf numFmtId="14" fontId="18" fillId="0" borderId="61" xfId="2" applyNumberFormat="1" applyFont="1" applyBorder="1" applyAlignment="1">
      <alignment horizontal="center" vertical="center"/>
    </xf>
    <xf numFmtId="165" fontId="18" fillId="0" borderId="62" xfId="2" applyNumberFormat="1" applyFont="1" applyBorder="1" applyAlignment="1">
      <alignment horizontal="center" vertical="center" wrapText="1"/>
    </xf>
    <xf numFmtId="0" fontId="29" fillId="0" borderId="51" xfId="2" applyFont="1" applyBorder="1" applyAlignment="1">
      <alignment horizontal="center" vertical="center" wrapText="1"/>
    </xf>
    <xf numFmtId="0" fontId="29" fillId="0" borderId="52" xfId="2" applyFont="1" applyBorder="1" applyAlignment="1">
      <alignment horizontal="center" vertical="center" wrapText="1"/>
    </xf>
    <xf numFmtId="0" fontId="29" fillId="0" borderId="49" xfId="2" applyFont="1" applyBorder="1" applyAlignment="1">
      <alignment horizontal="center" vertical="center"/>
    </xf>
    <xf numFmtId="0" fontId="29" fillId="0" borderId="55" xfId="2" applyFont="1" applyBorder="1" applyAlignment="1">
      <alignment horizontal="center" vertical="center"/>
    </xf>
    <xf numFmtId="0" fontId="29" fillId="0" borderId="13" xfId="2" applyFont="1" applyAlignment="1">
      <alignment horizontal="center" vertical="center"/>
    </xf>
    <xf numFmtId="0" fontId="18" fillId="0" borderId="73" xfId="2" applyFont="1" applyBorder="1" applyAlignment="1">
      <alignment horizontal="center" vertical="center"/>
    </xf>
    <xf numFmtId="0" fontId="18" fillId="0" borderId="74" xfId="2" applyFont="1" applyBorder="1" applyAlignment="1">
      <alignment horizontal="center" vertical="center"/>
    </xf>
    <xf numFmtId="0" fontId="18" fillId="0" borderId="78" xfId="2" quotePrefix="1" applyFont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0" fontId="18" fillId="0" borderId="77" xfId="0" applyFont="1" applyBorder="1" applyAlignment="1">
      <alignment horizontal="center" vertical="center"/>
    </xf>
    <xf numFmtId="14" fontId="18" fillId="0" borderId="67" xfId="0" quotePrefix="1" applyNumberFormat="1" applyFont="1" applyBorder="1" applyAlignment="1">
      <alignment horizontal="center" vertical="center"/>
    </xf>
    <xf numFmtId="0" fontId="18" fillId="0" borderId="77" xfId="0" quotePrefix="1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0" borderId="65" xfId="0" applyFont="1" applyBorder="1" applyAlignment="1">
      <alignment horizontal="center" vertical="center"/>
    </xf>
    <xf numFmtId="0" fontId="18" fillId="0" borderId="66" xfId="0" applyFont="1" applyBorder="1" applyAlignment="1">
      <alignment horizontal="center" vertical="center"/>
    </xf>
    <xf numFmtId="0" fontId="18" fillId="0" borderId="75" xfId="0" applyFont="1" applyBorder="1" applyAlignment="1">
      <alignment horizontal="center" vertical="center"/>
    </xf>
    <xf numFmtId="0" fontId="18" fillId="0" borderId="67" xfId="0" applyFont="1" applyBorder="1" applyAlignment="1">
      <alignment horizontal="left" vertical="center"/>
    </xf>
    <xf numFmtId="0" fontId="18" fillId="0" borderId="77" xfId="0" applyFont="1" applyBorder="1" applyAlignment="1">
      <alignment horizontal="left" vertical="center"/>
    </xf>
    <xf numFmtId="0" fontId="18" fillId="0" borderId="61" xfId="0" applyFont="1" applyBorder="1" applyAlignment="1">
      <alignment horizontal="center" vertical="center" wrapText="1"/>
    </xf>
    <xf numFmtId="0" fontId="18" fillId="0" borderId="77" xfId="0" applyFont="1" applyBorder="1" applyAlignment="1">
      <alignment horizontal="center" vertical="center" wrapText="1"/>
    </xf>
    <xf numFmtId="0" fontId="31" fillId="0" borderId="61" xfId="2" quotePrefix="1" applyFont="1" applyBorder="1" applyAlignment="1">
      <alignment horizontal="center" vertical="center"/>
    </xf>
    <xf numFmtId="0" fontId="18" fillId="0" borderId="67" xfId="0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/>
    </xf>
    <xf numFmtId="0" fontId="18" fillId="0" borderId="62" xfId="0" quotePrefix="1" applyFont="1" applyBorder="1" applyAlignment="1">
      <alignment horizontal="center" vertical="center"/>
    </xf>
    <xf numFmtId="0" fontId="18" fillId="0" borderId="78" xfId="0" applyFont="1" applyBorder="1" applyAlignment="1">
      <alignment horizontal="center" vertical="center"/>
    </xf>
    <xf numFmtId="0" fontId="32" fillId="17" borderId="87" xfId="0" applyFont="1" applyFill="1" applyBorder="1" applyAlignment="1">
      <alignment horizontal="center" vertical="center"/>
    </xf>
    <xf numFmtId="0" fontId="32" fillId="17" borderId="88" xfId="0" applyFont="1" applyFill="1" applyBorder="1" applyAlignment="1">
      <alignment horizontal="center" vertical="center"/>
    </xf>
    <xf numFmtId="0" fontId="32" fillId="17" borderId="85" xfId="0" applyFont="1" applyFill="1" applyBorder="1" applyAlignment="1">
      <alignment horizontal="center" vertical="center"/>
    </xf>
    <xf numFmtId="0" fontId="32" fillId="17" borderId="90" xfId="0" applyFont="1" applyFill="1" applyBorder="1" applyAlignment="1">
      <alignment horizontal="center" vertical="center"/>
    </xf>
    <xf numFmtId="0" fontId="32" fillId="17" borderId="92" xfId="0" applyFont="1" applyFill="1" applyBorder="1" applyAlignment="1">
      <alignment horizontal="center" vertical="center"/>
    </xf>
    <xf numFmtId="0" fontId="32" fillId="17" borderId="93" xfId="0" applyFont="1" applyFill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29" fillId="0" borderId="58" xfId="0" applyFont="1" applyBorder="1" applyAlignment="1">
      <alignment horizontal="center" vertical="center" wrapText="1"/>
    </xf>
    <xf numFmtId="0" fontId="18" fillId="0" borderId="84" xfId="0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18" fillId="0" borderId="64" xfId="0" applyFont="1" applyBorder="1" applyAlignment="1">
      <alignment horizontal="center" vertical="center"/>
    </xf>
    <xf numFmtId="0" fontId="18" fillId="0" borderId="62" xfId="0" applyFont="1" applyBorder="1" applyAlignment="1">
      <alignment horizontal="left" vertical="center"/>
    </xf>
    <xf numFmtId="14" fontId="18" fillId="0" borderId="62" xfId="0" quotePrefix="1" applyNumberFormat="1" applyFont="1" applyBorder="1" applyAlignment="1">
      <alignment horizontal="center" vertical="center"/>
    </xf>
    <xf numFmtId="0" fontId="31" fillId="0" borderId="67" xfId="2" applyFont="1" applyBorder="1" applyAlignment="1">
      <alignment horizontal="center" vertical="center"/>
    </xf>
    <xf numFmtId="0" fontId="31" fillId="0" borderId="62" xfId="2" applyFont="1" applyBorder="1" applyAlignment="1">
      <alignment horizontal="center" vertical="center"/>
    </xf>
    <xf numFmtId="165" fontId="18" fillId="0" borderId="67" xfId="0" quotePrefix="1" applyNumberFormat="1" applyFont="1" applyBorder="1" applyAlignment="1">
      <alignment horizontal="center" vertical="center"/>
    </xf>
    <xf numFmtId="165" fontId="18" fillId="0" borderId="62" xfId="0" quotePrefix="1" applyNumberFormat="1" applyFont="1" applyBorder="1" applyAlignment="1">
      <alignment horizontal="center" vertical="center"/>
    </xf>
    <xf numFmtId="0" fontId="18" fillId="0" borderId="67" xfId="0" quotePrefix="1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 wrapText="1"/>
    </xf>
    <xf numFmtId="0" fontId="18" fillId="0" borderId="83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4" fontId="18" fillId="0" borderId="83" xfId="0" quotePrefix="1" applyNumberFormat="1" applyFont="1" applyBorder="1" applyAlignment="1">
      <alignment horizontal="center" vertical="center"/>
    </xf>
    <xf numFmtId="0" fontId="18" fillId="0" borderId="60" xfId="0" applyFont="1" applyBorder="1" applyAlignment="1">
      <alignment horizontal="center" vertical="center"/>
    </xf>
    <xf numFmtId="0" fontId="18" fillId="0" borderId="61" xfId="0" applyFont="1" applyBorder="1" applyAlignment="1">
      <alignment horizontal="left" vertical="center"/>
    </xf>
    <xf numFmtId="165" fontId="18" fillId="0" borderId="83" xfId="0" quotePrefix="1" applyNumberFormat="1" applyFont="1" applyBorder="1" applyAlignment="1">
      <alignment horizontal="center" vertical="center"/>
    </xf>
    <xf numFmtId="0" fontId="31" fillId="0" borderId="61" xfId="2" applyFont="1" applyBorder="1" applyAlignment="1">
      <alignment horizontal="center" vertical="center"/>
    </xf>
    <xf numFmtId="0" fontId="18" fillId="0" borderId="83" xfId="0" applyFont="1" applyBorder="1" applyAlignment="1">
      <alignment horizontal="center" vertical="center" wrapText="1"/>
    </xf>
    <xf numFmtId="0" fontId="29" fillId="0" borderId="80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81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5" fillId="17" borderId="103" xfId="0" applyFont="1" applyFill="1" applyBorder="1" applyAlignment="1">
      <alignment horizontal="center" vertical="center"/>
    </xf>
    <xf numFmtId="0" fontId="35" fillId="17" borderId="102" xfId="0" applyFont="1" applyFill="1" applyBorder="1" applyAlignment="1">
      <alignment horizontal="center" vertical="center"/>
    </xf>
    <xf numFmtId="0" fontId="37" fillId="17" borderId="51" xfId="0" applyFont="1" applyFill="1" applyBorder="1" applyAlignment="1">
      <alignment horizontal="center" vertical="center"/>
    </xf>
    <xf numFmtId="0" fontId="37" fillId="17" borderId="81" xfId="0" applyFont="1" applyFill="1" applyBorder="1" applyAlignment="1">
      <alignment horizontal="center" vertical="center"/>
    </xf>
    <xf numFmtId="0" fontId="37" fillId="17" borderId="52" xfId="0" applyFont="1" applyFill="1" applyBorder="1" applyAlignment="1">
      <alignment horizontal="center" vertical="center"/>
    </xf>
    <xf numFmtId="0" fontId="37" fillId="17" borderId="112" xfId="0" applyFont="1" applyFill="1" applyBorder="1" applyAlignment="1">
      <alignment horizontal="center" vertical="center"/>
    </xf>
    <xf numFmtId="0" fontId="37" fillId="17" borderId="101" xfId="0" applyFont="1" applyFill="1" applyBorder="1" applyAlignment="1">
      <alignment horizontal="center" vertical="center"/>
    </xf>
    <xf numFmtId="0" fontId="37" fillId="17" borderId="102" xfId="0" applyFont="1" applyFill="1" applyBorder="1" applyAlignment="1">
      <alignment horizontal="center" vertical="center"/>
    </xf>
    <xf numFmtId="1" fontId="35" fillId="17" borderId="103" xfId="0" applyNumberFormat="1" applyFont="1" applyFill="1" applyBorder="1" applyAlignment="1">
      <alignment horizontal="center" vertical="center"/>
    </xf>
    <xf numFmtId="1" fontId="35" fillId="17" borderId="104" xfId="0" applyNumberFormat="1" applyFont="1" applyFill="1" applyBorder="1" applyAlignment="1">
      <alignment horizontal="center" vertical="center"/>
    </xf>
    <xf numFmtId="1" fontId="35" fillId="17" borderId="102" xfId="0" applyNumberFormat="1" applyFont="1" applyFill="1" applyBorder="1" applyAlignment="1">
      <alignment horizontal="center" vertical="center"/>
    </xf>
    <xf numFmtId="0" fontId="35" fillId="17" borderId="104" xfId="0" applyFont="1" applyFill="1" applyBorder="1" applyAlignment="1">
      <alignment horizontal="center" vertical="center"/>
    </xf>
    <xf numFmtId="1" fontId="35" fillId="0" borderId="40" xfId="0" applyNumberFormat="1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/>
    </xf>
    <xf numFmtId="1" fontId="35" fillId="19" borderId="40" xfId="0" applyNumberFormat="1" applyFont="1" applyFill="1" applyBorder="1" applyAlignment="1">
      <alignment horizontal="center" vertical="center"/>
    </xf>
    <xf numFmtId="0" fontId="35" fillId="19" borderId="40" xfId="0" applyFont="1" applyFill="1" applyBorder="1" applyAlignment="1">
      <alignment horizontal="center" vertical="center"/>
    </xf>
    <xf numFmtId="1" fontId="35" fillId="18" borderId="40" xfId="0" applyNumberFormat="1" applyFont="1" applyFill="1" applyBorder="1" applyAlignment="1">
      <alignment horizontal="center" vertical="center"/>
    </xf>
    <xf numFmtId="0" fontId="35" fillId="18" borderId="40" xfId="0" applyFont="1" applyFill="1" applyBorder="1" applyAlignment="1">
      <alignment horizontal="center" vertical="center"/>
    </xf>
    <xf numFmtId="1" fontId="35" fillId="0" borderId="62" xfId="0" applyNumberFormat="1" applyFont="1" applyBorder="1" applyAlignment="1">
      <alignment horizontal="center" vertical="center"/>
    </xf>
    <xf numFmtId="0" fontId="35" fillId="0" borderId="62" xfId="0" applyFont="1" applyBorder="1" applyAlignment="1">
      <alignment horizontal="center" vertical="center"/>
    </xf>
    <xf numFmtId="0" fontId="36" fillId="0" borderId="105" xfId="0" applyFont="1" applyBorder="1" applyAlignment="1">
      <alignment horizontal="center" vertical="center" wrapText="1"/>
    </xf>
    <xf numFmtId="0" fontId="36" fillId="0" borderId="107" xfId="0" applyFont="1" applyBorder="1" applyAlignment="1">
      <alignment horizontal="center" vertical="center" wrapText="1"/>
    </xf>
    <xf numFmtId="0" fontId="36" fillId="0" borderId="80" xfId="0" applyFont="1" applyBorder="1" applyAlignment="1">
      <alignment horizontal="center" vertical="center" wrapText="1"/>
    </xf>
    <xf numFmtId="0" fontId="36" fillId="0" borderId="59" xfId="0" applyFont="1" applyBorder="1" applyAlignment="1">
      <alignment horizontal="center" vertical="center" wrapText="1"/>
    </xf>
    <xf numFmtId="0" fontId="36" fillId="0" borderId="53" xfId="0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36" fillId="0" borderId="81" xfId="0" applyFont="1" applyBorder="1" applyAlignment="1">
      <alignment horizontal="center" vertical="center" wrapText="1"/>
    </xf>
    <xf numFmtId="0" fontId="36" fillId="0" borderId="52" xfId="0" applyFont="1" applyBorder="1" applyAlignment="1">
      <alignment horizontal="center" vertical="center" wrapText="1"/>
    </xf>
    <xf numFmtId="0" fontId="26" fillId="16" borderId="87" xfId="2" applyFont="1" applyFill="1" applyBorder="1" applyAlignment="1">
      <alignment horizontal="center" vertical="center" wrapText="1"/>
    </xf>
    <xf numFmtId="0" fontId="26" fillId="16" borderId="88" xfId="2" applyFont="1" applyFill="1" applyBorder="1" applyAlignment="1">
      <alignment horizontal="center" vertical="center" wrapText="1"/>
    </xf>
    <xf numFmtId="0" fontId="26" fillId="16" borderId="85" xfId="2" applyFont="1" applyFill="1" applyBorder="1" applyAlignment="1">
      <alignment horizontal="center" vertical="center" wrapText="1"/>
    </xf>
    <xf numFmtId="0" fontId="26" fillId="16" borderId="90" xfId="2" applyFont="1" applyFill="1" applyBorder="1" applyAlignment="1">
      <alignment horizontal="center" vertical="center" wrapText="1"/>
    </xf>
    <xf numFmtId="0" fontId="26" fillId="16" borderId="92" xfId="2" applyFont="1" applyFill="1" applyBorder="1" applyAlignment="1">
      <alignment horizontal="center" vertical="center" wrapText="1"/>
    </xf>
    <xf numFmtId="0" fontId="26" fillId="16" borderId="93" xfId="2" applyFont="1" applyFill="1" applyBorder="1" applyAlignment="1">
      <alignment horizontal="center" vertical="center" wrapText="1"/>
    </xf>
    <xf numFmtId="0" fontId="35" fillId="17" borderId="97" xfId="0" applyFont="1" applyFill="1" applyBorder="1" applyAlignment="1">
      <alignment horizontal="center" vertical="center"/>
    </xf>
    <xf numFmtId="0" fontId="35" fillId="17" borderId="82" xfId="0" applyFont="1" applyFill="1" applyBorder="1" applyAlignment="1">
      <alignment horizontal="center" vertical="center"/>
    </xf>
    <xf numFmtId="0" fontId="35" fillId="17" borderId="98" xfId="0" applyFont="1" applyFill="1" applyBorder="1" applyAlignment="1">
      <alignment horizontal="center" vertical="center"/>
    </xf>
    <xf numFmtId="0" fontId="36" fillId="0" borderId="94" xfId="0" applyFont="1" applyBorder="1" applyAlignment="1">
      <alignment horizontal="center" vertical="center" wrapText="1"/>
    </xf>
    <xf numFmtId="0" fontId="36" fillId="0" borderId="95" xfId="0" applyFont="1" applyBorder="1" applyAlignment="1">
      <alignment horizontal="center" vertical="center" wrapText="1"/>
    </xf>
    <xf numFmtId="0" fontId="36" fillId="0" borderId="96" xfId="0" applyFont="1" applyBorder="1" applyAlignment="1">
      <alignment horizontal="center" vertical="center" wrapText="1"/>
    </xf>
    <xf numFmtId="0" fontId="2" fillId="4" borderId="142" xfId="0" applyFont="1" applyFill="1" applyBorder="1" applyAlignment="1">
      <alignment horizontal="center" vertical="center"/>
    </xf>
    <xf numFmtId="0" fontId="2" fillId="0" borderId="121" xfId="0" applyFont="1" applyBorder="1" applyAlignment="1">
      <alignment horizontal="center" vertical="center"/>
    </xf>
    <xf numFmtId="0" fontId="2" fillId="4" borderId="143" xfId="0" applyFont="1" applyFill="1" applyBorder="1" applyAlignment="1">
      <alignment horizontal="center" vertical="center"/>
    </xf>
    <xf numFmtId="0" fontId="2" fillId="4" borderId="144" xfId="0" applyFont="1" applyFill="1" applyBorder="1" applyAlignment="1">
      <alignment horizontal="left" vertical="center"/>
    </xf>
    <xf numFmtId="0" fontId="2" fillId="4" borderId="145" xfId="0" applyFont="1" applyFill="1" applyBorder="1" applyAlignment="1">
      <alignment horizontal="center" vertical="center"/>
    </xf>
    <xf numFmtId="0" fontId="2" fillId="4" borderId="145" xfId="0" applyFont="1" applyFill="1" applyBorder="1" applyAlignment="1">
      <alignment horizontal="left" vertical="center" wrapText="1"/>
    </xf>
    <xf numFmtId="0" fontId="2" fillId="4" borderId="144" xfId="0" applyFont="1" applyFill="1" applyBorder="1" applyAlignment="1">
      <alignment horizontal="center" vertical="center"/>
    </xf>
    <xf numFmtId="0" fontId="2" fillId="0" borderId="144" xfId="0" applyFont="1" applyBorder="1" applyAlignment="1">
      <alignment horizontal="center" vertical="center"/>
    </xf>
    <xf numFmtId="0" fontId="2" fillId="0" borderId="146" xfId="0" applyFont="1" applyBorder="1" applyAlignment="1">
      <alignment horizontal="center" vertical="center"/>
    </xf>
    <xf numFmtId="0" fontId="2" fillId="4" borderId="120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47" xfId="0" applyFont="1" applyBorder="1" applyAlignment="1">
      <alignment horizontal="center" vertical="center"/>
    </xf>
    <xf numFmtId="0" fontId="1" fillId="7" borderId="148" xfId="0" applyFont="1" applyFill="1" applyBorder="1" applyAlignment="1">
      <alignment horizontal="center" vertical="center"/>
    </xf>
    <xf numFmtId="0" fontId="1" fillId="7" borderId="149" xfId="0" applyFont="1" applyFill="1" applyBorder="1" applyAlignment="1">
      <alignment horizontal="center" vertical="center"/>
    </xf>
    <xf numFmtId="0" fontId="1" fillId="7" borderId="149" xfId="0" applyFont="1" applyFill="1" applyBorder="1" applyAlignment="1">
      <alignment horizontal="center" vertical="center" wrapText="1"/>
    </xf>
    <xf numFmtId="0" fontId="1" fillId="7" borderId="150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vertical="center"/>
    </xf>
    <xf numFmtId="0" fontId="8" fillId="0" borderId="8" xfId="0" quotePrefix="1" applyFont="1" applyBorder="1" applyAlignment="1">
      <alignment vertical="center"/>
    </xf>
    <xf numFmtId="0" fontId="20" fillId="21" borderId="151" xfId="0" applyFont="1" applyFill="1" applyBorder="1" applyAlignment="1">
      <alignment horizontal="center" vertical="center"/>
    </xf>
    <xf numFmtId="0" fontId="52" fillId="21" borderId="152" xfId="0" applyFont="1" applyFill="1" applyBorder="1" applyAlignment="1">
      <alignment vertical="center"/>
    </xf>
    <xf numFmtId="0" fontId="52" fillId="21" borderId="153" xfId="0" applyFont="1" applyFill="1" applyBorder="1" applyAlignment="1">
      <alignment vertical="center"/>
    </xf>
    <xf numFmtId="0" fontId="8" fillId="0" borderId="120" xfId="0" applyFont="1" applyBorder="1" applyAlignment="1">
      <alignment vertical="center"/>
    </xf>
    <xf numFmtId="0" fontId="8" fillId="0" borderId="147" xfId="0" applyFont="1" applyBorder="1" applyAlignment="1">
      <alignment vertical="center"/>
    </xf>
    <xf numFmtId="0" fontId="8" fillId="0" borderId="143" xfId="0" applyFont="1" applyBorder="1" applyAlignment="1">
      <alignment vertical="center"/>
    </xf>
    <xf numFmtId="0" fontId="8" fillId="0" borderId="144" xfId="0" applyFont="1" applyBorder="1" applyAlignment="1">
      <alignment vertical="center"/>
    </xf>
    <xf numFmtId="0" fontId="8" fillId="0" borderId="144" xfId="0" quotePrefix="1" applyFont="1" applyBorder="1" applyAlignment="1">
      <alignment horizontal="left" vertical="center"/>
    </xf>
    <xf numFmtId="0" fontId="8" fillId="0" borderId="146" xfId="0" applyFont="1" applyBorder="1" applyAlignment="1">
      <alignment vertical="center"/>
    </xf>
    <xf numFmtId="0" fontId="4" fillId="0" borderId="62" xfId="0" applyFont="1" applyBorder="1" applyAlignment="1">
      <alignment horizontal="center" vertical="center"/>
    </xf>
    <xf numFmtId="0" fontId="10" fillId="8" borderId="154" xfId="0" applyFont="1" applyFill="1" applyBorder="1" applyAlignment="1">
      <alignment horizontal="center" vertical="center"/>
    </xf>
    <xf numFmtId="0" fontId="10" fillId="8" borderId="155" xfId="0" applyFont="1" applyFill="1" applyBorder="1" applyAlignment="1">
      <alignment horizontal="center" vertical="center"/>
    </xf>
    <xf numFmtId="0" fontId="10" fillId="8" borderId="156" xfId="0" applyFont="1" applyFill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 wrapText="1"/>
    </xf>
    <xf numFmtId="0" fontId="4" fillId="0" borderId="76" xfId="0" applyFont="1" applyBorder="1" applyAlignment="1">
      <alignment horizontal="center" vertical="center" wrapText="1"/>
    </xf>
    <xf numFmtId="0" fontId="4" fillId="0" borderId="106" xfId="0" applyFont="1" applyBorder="1" applyAlignment="1">
      <alignment horizontal="center" vertical="center" wrapText="1"/>
    </xf>
    <xf numFmtId="0" fontId="8" fillId="0" borderId="8" xfId="0" applyFont="1" applyBorder="1"/>
    <xf numFmtId="0" fontId="8" fillId="0" borderId="8" xfId="0" applyFont="1" applyBorder="1" applyAlignment="1">
      <alignment horizontal="center" vertical="center"/>
    </xf>
    <xf numFmtId="0" fontId="8" fillId="0" borderId="120" xfId="0" applyFont="1" applyBorder="1"/>
    <xf numFmtId="0" fontId="8" fillId="0" borderId="147" xfId="0" applyFont="1" applyBorder="1" applyAlignment="1">
      <alignment horizontal="center" vertical="center"/>
    </xf>
    <xf numFmtId="0" fontId="8" fillId="0" borderId="142" xfId="0" applyFont="1" applyBorder="1"/>
    <xf numFmtId="0" fontId="8" fillId="0" borderId="121" xfId="0" applyFont="1" applyBorder="1" applyAlignment="1">
      <alignment horizontal="center" vertical="center"/>
    </xf>
    <xf numFmtId="0" fontId="8" fillId="0" borderId="143" xfId="0" applyFont="1" applyBorder="1"/>
    <xf numFmtId="0" fontId="8" fillId="0" borderId="144" xfId="0" applyFont="1" applyBorder="1" applyAlignment="1">
      <alignment horizontal="center" vertical="center"/>
    </xf>
    <xf numFmtId="0" fontId="8" fillId="0" borderId="144" xfId="0" applyFont="1" applyBorder="1"/>
    <xf numFmtId="0" fontId="8" fillId="0" borderId="146" xfId="0" applyFont="1" applyBorder="1" applyAlignment="1">
      <alignment horizontal="center" vertical="center"/>
    </xf>
    <xf numFmtId="0" fontId="10" fillId="9" borderId="87" xfId="0" applyFont="1" applyFill="1" applyBorder="1" applyAlignment="1">
      <alignment horizontal="center" vertical="center"/>
    </xf>
    <xf numFmtId="0" fontId="10" fillId="9" borderId="88" xfId="0" applyFont="1" applyFill="1" applyBorder="1" applyAlignment="1">
      <alignment horizontal="center" vertical="center"/>
    </xf>
    <xf numFmtId="0" fontId="4" fillId="0" borderId="159" xfId="0" applyFont="1" applyBorder="1" applyAlignment="1">
      <alignment horizontal="center" vertical="center"/>
    </xf>
    <xf numFmtId="0" fontId="4" fillId="0" borderId="160" xfId="0" applyFont="1" applyBorder="1" applyAlignment="1">
      <alignment horizontal="center" vertical="center"/>
    </xf>
    <xf numFmtId="0" fontId="4" fillId="0" borderId="157" xfId="0" applyFont="1" applyBorder="1" applyAlignment="1">
      <alignment horizontal="center" vertical="center"/>
    </xf>
    <xf numFmtId="0" fontId="4" fillId="0" borderId="158" xfId="0" applyFont="1" applyBorder="1" applyAlignment="1">
      <alignment horizontal="center" vertical="center"/>
    </xf>
    <xf numFmtId="0" fontId="10" fillId="9" borderId="92" xfId="0" applyFont="1" applyFill="1" applyBorder="1" applyAlignment="1">
      <alignment horizontal="center" vertical="center"/>
    </xf>
    <xf numFmtId="0" fontId="10" fillId="9" borderId="93" xfId="0" applyFont="1" applyFill="1" applyBorder="1" applyAlignment="1">
      <alignment horizontal="center" vertical="center"/>
    </xf>
    <xf numFmtId="0" fontId="21" fillId="13" borderId="99" xfId="0" applyFont="1" applyFill="1" applyBorder="1" applyAlignment="1">
      <alignment horizontal="left" vertical="center"/>
    </xf>
    <xf numFmtId="0" fontId="8" fillId="0" borderId="100" xfId="0" applyFont="1" applyBorder="1" applyAlignment="1">
      <alignment vertical="center" wrapText="1"/>
    </xf>
    <xf numFmtId="0" fontId="21" fillId="13" borderId="108" xfId="0" applyFont="1" applyFill="1" applyBorder="1" applyAlignment="1">
      <alignment horizontal="left" vertical="center"/>
    </xf>
    <xf numFmtId="0" fontId="22" fillId="13" borderId="76" xfId="0" applyFont="1" applyFill="1" applyBorder="1" applyAlignment="1">
      <alignment horizontal="left" vertical="center"/>
    </xf>
    <xf numFmtId="0" fontId="8" fillId="0" borderId="76" xfId="0" applyFont="1" applyBorder="1" applyAlignment="1">
      <alignment vertical="center" wrapText="1"/>
    </xf>
    <xf numFmtId="0" fontId="8" fillId="0" borderId="106" xfId="0" applyFont="1" applyBorder="1" applyAlignment="1">
      <alignment vertical="center" wrapText="1"/>
    </xf>
    <xf numFmtId="0" fontId="21" fillId="13" borderId="64" xfId="0" applyFont="1" applyFill="1" applyBorder="1" applyAlignment="1">
      <alignment horizontal="left" vertical="center"/>
    </xf>
    <xf numFmtId="0" fontId="22" fillId="13" borderId="62" xfId="0" applyFont="1" applyFill="1" applyBorder="1" applyAlignment="1">
      <alignment horizontal="left" vertical="center"/>
    </xf>
    <xf numFmtId="0" fontId="8" fillId="0" borderId="62" xfId="0" applyFont="1" applyBorder="1" applyAlignment="1">
      <alignment vertical="center" wrapText="1"/>
    </xf>
    <xf numFmtId="0" fontId="8" fillId="0" borderId="65" xfId="0" applyFont="1" applyBorder="1" applyAlignment="1">
      <alignment vertical="center" wrapText="1"/>
    </xf>
    <xf numFmtId="0" fontId="20" fillId="15" borderId="154" xfId="0" applyFont="1" applyFill="1" applyBorder="1" applyAlignment="1">
      <alignment horizontal="center" vertical="center"/>
    </xf>
    <xf numFmtId="0" fontId="20" fillId="15" borderId="155" xfId="0" applyFont="1" applyFill="1" applyBorder="1" applyAlignment="1">
      <alignment horizontal="center" vertical="center"/>
    </xf>
    <xf numFmtId="0" fontId="20" fillId="15" borderId="156" xfId="0" applyFont="1" applyFill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20" fillId="10" borderId="154" xfId="0" applyFont="1" applyFill="1" applyBorder="1" applyAlignment="1">
      <alignment horizontal="center" vertical="center" wrapText="1"/>
    </xf>
    <xf numFmtId="0" fontId="20" fillId="10" borderId="155" xfId="0" applyFont="1" applyFill="1" applyBorder="1" applyAlignment="1">
      <alignment horizontal="center" vertical="center" wrapText="1"/>
    </xf>
    <xf numFmtId="0" fontId="20" fillId="10" borderId="155" xfId="0" applyFont="1" applyFill="1" applyBorder="1" applyAlignment="1">
      <alignment horizontal="center" vertical="center"/>
    </xf>
    <xf numFmtId="0" fontId="20" fillId="10" borderId="156" xfId="0" applyFont="1" applyFill="1" applyBorder="1" applyAlignment="1">
      <alignment horizontal="center" vertical="center"/>
    </xf>
    <xf numFmtId="0" fontId="8" fillId="0" borderId="64" xfId="0" applyFont="1" applyBorder="1" applyAlignment="1">
      <alignment vertical="center" wrapText="1"/>
    </xf>
    <xf numFmtId="1" fontId="4" fillId="0" borderId="65" xfId="0" applyNumberFormat="1" applyFont="1" applyBorder="1" applyAlignment="1">
      <alignment vertical="center"/>
    </xf>
    <xf numFmtId="0" fontId="8" fillId="0" borderId="99" xfId="0" applyFont="1" applyBorder="1" applyAlignment="1">
      <alignment vertical="center" wrapText="1"/>
    </xf>
    <xf numFmtId="1" fontId="4" fillId="0" borderId="100" xfId="0" applyNumberFormat="1" applyFont="1" applyBorder="1" applyAlignment="1">
      <alignment vertical="center"/>
    </xf>
    <xf numFmtId="0" fontId="8" fillId="0" borderId="108" xfId="0" applyFont="1" applyBorder="1" applyAlignment="1">
      <alignment vertical="center" wrapText="1"/>
    </xf>
    <xf numFmtId="0" fontId="4" fillId="0" borderId="76" xfId="0" applyFont="1" applyBorder="1" applyAlignment="1">
      <alignment horizontal="center" vertical="center"/>
    </xf>
    <xf numFmtId="1" fontId="4" fillId="0" borderId="106" xfId="0" applyNumberFormat="1" applyFont="1" applyBorder="1" applyAlignment="1">
      <alignment vertical="center"/>
    </xf>
    <xf numFmtId="0" fontId="8" fillId="4" borderId="62" xfId="0" applyFont="1" applyFill="1" applyBorder="1" applyAlignment="1">
      <alignment vertical="center" wrapText="1"/>
    </xf>
    <xf numFmtId="0" fontId="20" fillId="10" borderId="154" xfId="0" applyFont="1" applyFill="1" applyBorder="1" applyAlignment="1">
      <alignment horizontal="center" vertical="center"/>
    </xf>
    <xf numFmtId="0" fontId="20" fillId="10" borderId="155" xfId="0" applyFont="1" applyFill="1" applyBorder="1" applyAlignment="1">
      <alignment horizontal="center" vertical="center"/>
    </xf>
    <xf numFmtId="0" fontId="8" fillId="4" borderId="64" xfId="0" applyFont="1" applyFill="1" applyBorder="1" applyAlignment="1">
      <alignment vertical="center" wrapText="1"/>
    </xf>
    <xf numFmtId="0" fontId="4" fillId="0" borderId="65" xfId="0" applyFont="1" applyBorder="1" applyAlignment="1">
      <alignment horizontal="center" vertical="center"/>
    </xf>
    <xf numFmtId="0" fontId="8" fillId="4" borderId="99" xfId="0" applyFont="1" applyFill="1" applyBorder="1" applyAlignment="1">
      <alignment vertical="center" wrapText="1"/>
    </xf>
    <xf numFmtId="0" fontId="4" fillId="0" borderId="100" xfId="0" applyFont="1" applyBorder="1" applyAlignment="1">
      <alignment horizontal="center" vertical="center"/>
    </xf>
    <xf numFmtId="0" fontId="8" fillId="4" borderId="108" xfId="0" applyFont="1" applyFill="1" applyBorder="1" applyAlignment="1">
      <alignment vertical="center" wrapText="1"/>
    </xf>
    <xf numFmtId="0" fontId="8" fillId="4" borderId="76" xfId="0" applyFont="1" applyFill="1" applyBorder="1" applyAlignment="1">
      <alignment vertical="center" wrapText="1"/>
    </xf>
    <xf numFmtId="0" fontId="4" fillId="0" borderId="10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4" fillId="0" borderId="0" xfId="0" applyFont="1" applyAlignment="1">
      <alignment vertical="center"/>
    </xf>
    <xf numFmtId="0" fontId="1" fillId="10" borderId="2" xfId="0" applyFont="1" applyFill="1" applyBorder="1" applyAlignment="1">
      <alignment horizontal="center" vertical="center"/>
    </xf>
    <xf numFmtId="0" fontId="55" fillId="0" borderId="3" xfId="0" applyFont="1" applyBorder="1" applyAlignment="1">
      <alignment vertical="center"/>
    </xf>
    <xf numFmtId="0" fontId="55" fillId="0" borderId="4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55" fillId="0" borderId="30" xfId="0" applyFont="1" applyBorder="1" applyAlignment="1">
      <alignment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quotePrefix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39" fillId="0" borderId="67" xfId="0" applyFont="1" applyBorder="1" applyAlignment="1">
      <alignment horizontal="center" vertical="center"/>
    </xf>
    <xf numFmtId="0" fontId="39" fillId="0" borderId="67" xfId="0" applyFont="1" applyBorder="1" applyAlignment="1">
      <alignment horizontal="center" vertical="center" wrapText="1"/>
    </xf>
    <xf numFmtId="0" fontId="39" fillId="0" borderId="61" xfId="0" applyFont="1" applyBorder="1" applyAlignment="1">
      <alignment horizontal="center" vertical="center"/>
    </xf>
    <xf numFmtId="0" fontId="39" fillId="0" borderId="61" xfId="0" applyFont="1" applyBorder="1" applyAlignment="1">
      <alignment horizontal="center" vertical="center" wrapText="1"/>
    </xf>
    <xf numFmtId="0" fontId="39" fillId="0" borderId="62" xfId="0" applyFont="1" applyBorder="1" applyAlignment="1">
      <alignment horizontal="center" vertical="center"/>
    </xf>
    <xf numFmtId="0" fontId="39" fillId="0" borderId="62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/>
    </xf>
    <xf numFmtId="0" fontId="30" fillId="0" borderId="40" xfId="0" applyFont="1" applyBorder="1" applyAlignment="1">
      <alignment horizontal="left" vertical="center"/>
    </xf>
    <xf numFmtId="0" fontId="30" fillId="0" borderId="40" xfId="0" applyFont="1" applyBorder="1" applyAlignment="1">
      <alignment horizontal="center" vertical="center" wrapText="1"/>
    </xf>
    <xf numFmtId="14" fontId="30" fillId="0" borderId="40" xfId="0" applyNumberFormat="1" applyFont="1" applyBorder="1" applyAlignment="1">
      <alignment horizontal="center" vertical="center"/>
    </xf>
    <xf numFmtId="0" fontId="30" fillId="13" borderId="40" xfId="0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39" fillId="0" borderId="80" xfId="0" applyFont="1" applyBorder="1" applyAlignment="1">
      <alignment horizontal="center" vertical="center"/>
    </xf>
    <xf numFmtId="0" fontId="39" fillId="0" borderId="53" xfId="0" applyFont="1" applyBorder="1" applyAlignment="1">
      <alignment horizontal="center" vertical="center"/>
    </xf>
    <xf numFmtId="0" fontId="39" fillId="0" borderId="53" xfId="0" applyFont="1" applyBorder="1" applyAlignment="1">
      <alignment horizontal="center" vertical="center" wrapText="1"/>
    </xf>
    <xf numFmtId="0" fontId="39" fillId="0" borderId="51" xfId="0" applyFont="1" applyBorder="1" applyAlignment="1">
      <alignment horizontal="center" vertical="center" wrapText="1"/>
    </xf>
    <xf numFmtId="0" fontId="39" fillId="0" borderId="52" xfId="0" applyFont="1" applyBorder="1" applyAlignment="1">
      <alignment horizontal="center" vertical="center" wrapText="1"/>
    </xf>
    <xf numFmtId="0" fontId="39" fillId="0" borderId="50" xfId="0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vertical="center" wrapText="1"/>
    </xf>
    <xf numFmtId="0" fontId="39" fillId="0" borderId="60" xfId="0" applyFont="1" applyBorder="1" applyAlignment="1">
      <alignment horizontal="center" vertical="center"/>
    </xf>
    <xf numFmtId="0" fontId="39" fillId="0" borderId="63" xfId="0" applyFont="1" applyBorder="1" applyAlignment="1">
      <alignment horizontal="center" vertical="center" wrapText="1"/>
    </xf>
    <xf numFmtId="0" fontId="39" fillId="0" borderId="64" xfId="0" applyFont="1" applyBorder="1" applyAlignment="1">
      <alignment horizontal="center" vertical="center"/>
    </xf>
    <xf numFmtId="0" fontId="39" fillId="0" borderId="65" xfId="0" applyFont="1" applyBorder="1" applyAlignment="1">
      <alignment horizontal="center" vertical="center" wrapText="1"/>
    </xf>
    <xf numFmtId="0" fontId="30" fillId="0" borderId="108" xfId="0" applyFont="1" applyBorder="1" applyAlignment="1">
      <alignment horizontal="center" vertical="center"/>
    </xf>
    <xf numFmtId="0" fontId="30" fillId="0" borderId="76" xfId="0" applyFont="1" applyBorder="1" applyAlignment="1">
      <alignment horizontal="center" vertical="center" wrapText="1"/>
    </xf>
    <xf numFmtId="0" fontId="30" fillId="0" borderId="75" xfId="0" applyFont="1" applyBorder="1" applyAlignment="1">
      <alignment horizontal="center" vertical="center"/>
    </xf>
    <xf numFmtId="0" fontId="30" fillId="0" borderId="77" xfId="0" applyFont="1" applyBorder="1" applyAlignment="1">
      <alignment horizontal="left" vertical="center"/>
    </xf>
    <xf numFmtId="0" fontId="30" fillId="0" borderId="77" xfId="0" applyFont="1" applyBorder="1" applyAlignment="1">
      <alignment horizontal="center" vertical="center" wrapText="1"/>
    </xf>
    <xf numFmtId="14" fontId="30" fillId="0" borderId="77" xfId="0" applyNumberFormat="1" applyFont="1" applyBorder="1" applyAlignment="1">
      <alignment horizontal="center" vertical="center" wrapText="1"/>
    </xf>
    <xf numFmtId="0" fontId="30" fillId="0" borderId="77" xfId="0" quotePrefix="1" applyFont="1" applyBorder="1" applyAlignment="1">
      <alignment horizontal="center" vertical="center" wrapText="1"/>
    </xf>
    <xf numFmtId="14" fontId="30" fillId="0" borderId="77" xfId="0" applyNumberFormat="1" applyFont="1" applyBorder="1" applyAlignment="1">
      <alignment horizontal="center" vertical="center"/>
    </xf>
    <xf numFmtId="0" fontId="30" fillId="13" borderId="77" xfId="0" applyFont="1" applyFill="1" applyBorder="1" applyAlignment="1">
      <alignment horizontal="center" vertical="center" wrapText="1"/>
    </xf>
    <xf numFmtId="0" fontId="30" fillId="13" borderId="77" xfId="0" applyFont="1" applyFill="1" applyBorder="1" applyAlignment="1">
      <alignment horizontal="left" vertical="center" wrapText="1"/>
    </xf>
    <xf numFmtId="14" fontId="30" fillId="13" borderId="77" xfId="0" applyNumberFormat="1" applyFont="1" applyFill="1" applyBorder="1" applyAlignment="1">
      <alignment horizontal="center" vertical="center" wrapText="1"/>
    </xf>
    <xf numFmtId="0" fontId="30" fillId="13" borderId="78" xfId="0" applyFont="1" applyFill="1" applyBorder="1" applyAlignment="1">
      <alignment horizontal="left" vertical="center" wrapText="1"/>
    </xf>
    <xf numFmtId="0" fontId="39" fillId="0" borderId="75" xfId="0" applyFont="1" applyBorder="1" applyAlignment="1">
      <alignment horizontal="center" vertical="center"/>
    </xf>
    <xf numFmtId="0" fontId="39" fillId="0" borderId="77" xfId="0" applyFont="1" applyBorder="1" applyAlignment="1">
      <alignment horizontal="center" vertical="center"/>
    </xf>
    <xf numFmtId="0" fontId="39" fillId="0" borderId="77" xfId="0" applyFont="1" applyBorder="1" applyAlignment="1">
      <alignment horizontal="center" vertical="center" wrapText="1"/>
    </xf>
    <xf numFmtId="0" fontId="39" fillId="0" borderId="78" xfId="0" applyFont="1" applyBorder="1" applyAlignment="1">
      <alignment horizontal="center" vertical="center" wrapText="1"/>
    </xf>
    <xf numFmtId="14" fontId="30" fillId="0" borderId="62" xfId="0" applyNumberFormat="1" applyFont="1" applyBorder="1" applyAlignment="1">
      <alignment horizontal="center" vertical="center" wrapText="1"/>
    </xf>
    <xf numFmtId="0" fontId="30" fillId="0" borderId="62" xfId="0" applyFont="1" applyBorder="1" applyAlignment="1">
      <alignment horizontal="center" vertical="center" wrapText="1"/>
    </xf>
    <xf numFmtId="0" fontId="30" fillId="0" borderId="62" xfId="0" quotePrefix="1" applyFont="1" applyBorder="1" applyAlignment="1">
      <alignment horizontal="center" vertical="center" wrapText="1"/>
    </xf>
    <xf numFmtId="0" fontId="30" fillId="13" borderId="62" xfId="0" quotePrefix="1" applyFont="1" applyFill="1" applyBorder="1" applyAlignment="1">
      <alignment horizontal="center" vertical="center" wrapText="1"/>
    </xf>
    <xf numFmtId="0" fontId="30" fillId="13" borderId="67" xfId="0" applyFont="1" applyFill="1" applyBorder="1" applyAlignment="1">
      <alignment horizontal="center" vertical="center" wrapText="1"/>
    </xf>
    <xf numFmtId="14" fontId="18" fillId="0" borderId="40" xfId="0" applyNumberFormat="1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/>
    </xf>
    <xf numFmtId="0" fontId="30" fillId="13" borderId="67" xfId="0" applyFont="1" applyFill="1" applyBorder="1" applyAlignment="1">
      <alignment horizontal="center" vertical="center"/>
    </xf>
    <xf numFmtId="0" fontId="39" fillId="0" borderId="86" xfId="0" quotePrefix="1" applyFont="1" applyBorder="1" applyAlignment="1">
      <alignment horizontal="left" vertical="center" wrapText="1"/>
    </xf>
    <xf numFmtId="0" fontId="30" fillId="0" borderId="40" xfId="0" quotePrefix="1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 wrapText="1"/>
    </xf>
    <xf numFmtId="0" fontId="30" fillId="0" borderId="67" xfId="0" applyFont="1" applyBorder="1" applyAlignment="1">
      <alignment horizontal="center" vertical="center"/>
    </xf>
    <xf numFmtId="0" fontId="39" fillId="0" borderId="86" xfId="0" applyFont="1" applyBorder="1" applyAlignment="1">
      <alignment horizontal="left" vertical="center" wrapText="1"/>
    </xf>
    <xf numFmtId="0" fontId="18" fillId="13" borderId="40" xfId="0" applyFont="1" applyFill="1" applyBorder="1" applyAlignment="1">
      <alignment horizontal="center" vertical="center"/>
    </xf>
    <xf numFmtId="14" fontId="30" fillId="13" borderId="62" xfId="0" applyNumberFormat="1" applyFont="1" applyFill="1" applyBorder="1" applyAlignment="1">
      <alignment horizontal="center" vertical="center" wrapText="1"/>
    </xf>
    <xf numFmtId="0" fontId="30" fillId="13" borderId="62" xfId="0" applyFont="1" applyFill="1" applyBorder="1" applyAlignment="1">
      <alignment horizontal="center" vertical="center" wrapText="1"/>
    </xf>
    <xf numFmtId="0" fontId="30" fillId="13" borderId="67" xfId="0" applyFont="1" applyFill="1" applyBorder="1" applyAlignment="1">
      <alignment horizontal="left" vertical="center"/>
    </xf>
    <xf numFmtId="14" fontId="18" fillId="0" borderId="67" xfId="0" applyNumberFormat="1" applyFont="1" applyBorder="1" applyAlignment="1">
      <alignment horizontal="center" vertical="center"/>
    </xf>
    <xf numFmtId="0" fontId="30" fillId="13" borderId="61" xfId="0" applyFont="1" applyFill="1" applyBorder="1" applyAlignment="1">
      <alignment horizontal="center" vertical="center" wrapText="1"/>
    </xf>
    <xf numFmtId="0" fontId="30" fillId="0" borderId="61" xfId="0" applyFont="1" applyBorder="1" applyAlignment="1">
      <alignment horizontal="center" vertical="center" wrapText="1"/>
    </xf>
    <xf numFmtId="0" fontId="30" fillId="13" borderId="61" xfId="0" quotePrefix="1" applyFont="1" applyFill="1" applyBorder="1" applyAlignment="1">
      <alignment horizontal="center" vertical="center" wrapText="1"/>
    </xf>
    <xf numFmtId="0" fontId="18" fillId="13" borderId="67" xfId="0" applyFont="1" applyFill="1" applyBorder="1" applyAlignment="1">
      <alignment horizontal="center" vertical="center"/>
    </xf>
    <xf numFmtId="0" fontId="18" fillId="13" borderId="67" xfId="0" applyFont="1" applyFill="1" applyBorder="1" applyAlignment="1">
      <alignment horizontal="center" vertical="center" wrapText="1"/>
    </xf>
    <xf numFmtId="0" fontId="18" fillId="0" borderId="67" xfId="0" applyFont="1" applyBorder="1" applyAlignment="1">
      <alignment vertical="center"/>
    </xf>
    <xf numFmtId="0" fontId="30" fillId="13" borderId="40" xfId="0" quotePrefix="1" applyFont="1" applyFill="1" applyBorder="1" applyAlignment="1">
      <alignment horizontal="center" vertical="center" wrapText="1"/>
    </xf>
    <xf numFmtId="0" fontId="18" fillId="13" borderId="40" xfId="0" applyFont="1" applyFill="1" applyBorder="1" applyAlignment="1">
      <alignment horizontal="center" vertical="center" wrapText="1"/>
    </xf>
    <xf numFmtId="0" fontId="30" fillId="13" borderId="40" xfId="0" applyFont="1" applyFill="1" applyBorder="1" applyAlignment="1">
      <alignment horizontal="center" vertical="center"/>
    </xf>
    <xf numFmtId="0" fontId="30" fillId="13" borderId="40" xfId="0" applyFont="1" applyFill="1" applyBorder="1" applyAlignment="1">
      <alignment horizontal="left" vertical="center"/>
    </xf>
    <xf numFmtId="0" fontId="39" fillId="0" borderId="86" xfId="0" applyFont="1" applyBorder="1" applyAlignment="1">
      <alignment horizontal="left" vertical="center"/>
    </xf>
    <xf numFmtId="0" fontId="18" fillId="0" borderId="40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left" vertical="center" wrapText="1"/>
    </xf>
    <xf numFmtId="165" fontId="18" fillId="0" borderId="40" xfId="0" applyNumberFormat="1" applyFont="1" applyBorder="1" applyAlignment="1">
      <alignment horizontal="center" vertical="center"/>
    </xf>
    <xf numFmtId="165" fontId="18" fillId="13" borderId="40" xfId="0" applyNumberFormat="1" applyFont="1" applyFill="1" applyBorder="1" applyAlignment="1">
      <alignment horizontal="center" vertical="center"/>
    </xf>
    <xf numFmtId="49" fontId="18" fillId="13" borderId="40" xfId="0" applyNumberFormat="1" applyFont="1" applyFill="1" applyBorder="1" applyAlignment="1">
      <alignment horizontal="center" vertical="center"/>
    </xf>
    <xf numFmtId="0" fontId="30" fillId="0" borderId="62" xfId="0" applyFont="1" applyBorder="1" applyAlignment="1">
      <alignment horizontal="left" vertical="center" wrapText="1"/>
    </xf>
    <xf numFmtId="0" fontId="59" fillId="0" borderId="40" xfId="0" applyFont="1" applyBorder="1" applyAlignment="1">
      <alignment horizontal="center" vertical="center" wrapText="1"/>
    </xf>
    <xf numFmtId="0" fontId="30" fillId="0" borderId="40" xfId="0" applyFont="1" applyBorder="1" applyAlignment="1">
      <alignment vertical="center"/>
    </xf>
    <xf numFmtId="165" fontId="18" fillId="13" borderId="62" xfId="0" applyNumberFormat="1" applyFont="1" applyFill="1" applyBorder="1" applyAlignment="1">
      <alignment horizontal="center" vertical="center"/>
    </xf>
    <xf numFmtId="165" fontId="18" fillId="0" borderId="62" xfId="0" applyNumberFormat="1" applyFont="1" applyBorder="1" applyAlignment="1">
      <alignment horizontal="center" vertical="center"/>
    </xf>
    <xf numFmtId="0" fontId="30" fillId="0" borderId="61" xfId="0" applyFont="1" applyBorder="1" applyAlignment="1">
      <alignment horizontal="center" vertical="center"/>
    </xf>
    <xf numFmtId="165" fontId="30" fillId="13" borderId="40" xfId="0" applyNumberFormat="1" applyFont="1" applyFill="1" applyBorder="1" applyAlignment="1">
      <alignment horizontal="center" vertical="center" wrapText="1"/>
    </xf>
    <xf numFmtId="165" fontId="30" fillId="13" borderId="40" xfId="0" applyNumberFormat="1" applyFont="1" applyFill="1" applyBorder="1" applyAlignment="1">
      <alignment horizontal="center" vertical="center"/>
    </xf>
    <xf numFmtId="165" fontId="18" fillId="0" borderId="67" xfId="0" applyNumberFormat="1" applyFont="1" applyBorder="1" applyAlignment="1">
      <alignment horizontal="center" vertical="center"/>
    </xf>
    <xf numFmtId="0" fontId="18" fillId="0" borderId="61" xfId="0" quotePrefix="1" applyFont="1" applyBorder="1" applyAlignment="1">
      <alignment horizontal="center" vertical="center" wrapText="1"/>
    </xf>
    <xf numFmtId="0" fontId="18" fillId="0" borderId="67" xfId="0" applyFont="1" applyBorder="1" applyAlignment="1">
      <alignment vertical="center" wrapText="1"/>
    </xf>
    <xf numFmtId="0" fontId="18" fillId="0" borderId="62" xfId="0" quotePrefix="1" applyFont="1" applyBorder="1" applyAlignment="1">
      <alignment horizontal="center" vertical="center" wrapText="1"/>
    </xf>
    <xf numFmtId="49" fontId="18" fillId="0" borderId="40" xfId="0" applyNumberFormat="1" applyFont="1" applyBorder="1" applyAlignment="1">
      <alignment horizontal="center" vertical="center"/>
    </xf>
    <xf numFmtId="0" fontId="18" fillId="0" borderId="135" xfId="0" applyFont="1" applyBorder="1" applyAlignment="1">
      <alignment vertical="center" wrapText="1"/>
    </xf>
    <xf numFmtId="0" fontId="18" fillId="0" borderId="136" xfId="0" quotePrefix="1" applyFont="1" applyBorder="1" applyAlignment="1">
      <alignment horizontal="center" vertical="center" wrapText="1"/>
    </xf>
    <xf numFmtId="14" fontId="30" fillId="13" borderId="67" xfId="0" applyNumberFormat="1" applyFont="1" applyFill="1" applyBorder="1" applyAlignment="1">
      <alignment horizontal="center" vertical="center"/>
    </xf>
    <xf numFmtId="0" fontId="18" fillId="0" borderId="40" xfId="0" quotePrefix="1" applyFont="1" applyBorder="1" applyAlignment="1">
      <alignment horizontal="center" vertical="center" wrapText="1"/>
    </xf>
    <xf numFmtId="0" fontId="18" fillId="0" borderId="45" xfId="0" quotePrefix="1" applyFont="1" applyBorder="1" applyAlignment="1">
      <alignment horizontal="center" vertical="center"/>
    </xf>
    <xf numFmtId="0" fontId="39" fillId="0" borderId="86" xfId="0" applyFont="1" applyBorder="1" applyAlignment="1">
      <alignment vertical="center"/>
    </xf>
    <xf numFmtId="0" fontId="39" fillId="0" borderId="86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58" fillId="0" borderId="0" xfId="0" applyFont="1" applyAlignment="1">
      <alignment vertical="center"/>
    </xf>
    <xf numFmtId="0" fontId="39" fillId="0" borderId="0" xfId="0" applyFont="1" applyAlignment="1">
      <alignment vertical="center" wrapText="1"/>
    </xf>
    <xf numFmtId="0" fontId="58" fillId="0" borderId="0" xfId="0" applyFont="1" applyAlignment="1">
      <alignment horizontal="center" vertical="center"/>
    </xf>
    <xf numFmtId="0" fontId="39" fillId="0" borderId="45" xfId="0" quotePrefix="1" applyFont="1" applyBorder="1" applyAlignment="1">
      <alignment horizontal="left" vertical="center"/>
    </xf>
    <xf numFmtId="0" fontId="39" fillId="0" borderId="49" xfId="0" applyFont="1" applyBorder="1" applyAlignment="1">
      <alignment horizontal="center" vertical="center" wrapText="1"/>
    </xf>
    <xf numFmtId="0" fontId="39" fillId="0" borderId="50" xfId="0" applyFont="1" applyBorder="1" applyAlignment="1">
      <alignment horizontal="center" vertical="center" wrapText="1"/>
    </xf>
    <xf numFmtId="0" fontId="39" fillId="0" borderId="53" xfId="0" applyFont="1" applyBorder="1" applyAlignment="1">
      <alignment horizontal="center" vertical="center" wrapText="1"/>
    </xf>
    <xf numFmtId="0" fontId="39" fillId="0" borderId="108" xfId="0" applyFont="1" applyBorder="1" applyAlignment="1">
      <alignment horizontal="center" vertical="center" wrapText="1"/>
    </xf>
    <xf numFmtId="0" fontId="39" fillId="0" borderId="76" xfId="0" applyFont="1" applyBorder="1" applyAlignment="1">
      <alignment horizontal="center" vertical="center" wrapText="1"/>
    </xf>
    <xf numFmtId="0" fontId="39" fillId="0" borderId="77" xfId="0" applyFont="1" applyBorder="1" applyAlignment="1">
      <alignment horizontal="center" vertical="center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center" vertical="center"/>
    </xf>
    <xf numFmtId="0" fontId="58" fillId="0" borderId="13" xfId="0" applyFont="1" applyBorder="1" applyAlignment="1">
      <alignment vertical="center"/>
    </xf>
    <xf numFmtId="0" fontId="39" fillId="0" borderId="161" xfId="0" quotePrefix="1" applyFont="1" applyBorder="1" applyAlignment="1">
      <alignment horizontal="left" vertical="center"/>
    </xf>
    <xf numFmtId="0" fontId="39" fillId="0" borderId="74" xfId="0" quotePrefix="1" applyFont="1" applyBorder="1" applyAlignment="1">
      <alignment horizontal="left" vertical="center"/>
    </xf>
    <xf numFmtId="0" fontId="30" fillId="0" borderId="99" xfId="0" applyFont="1" applyBorder="1" applyAlignment="1">
      <alignment horizontal="center" vertical="center"/>
    </xf>
    <xf numFmtId="0" fontId="30" fillId="0" borderId="162" xfId="0" applyFont="1" applyBorder="1" applyAlignment="1">
      <alignment horizontal="left" vertical="center" wrapText="1"/>
    </xf>
    <xf numFmtId="14" fontId="18" fillId="0" borderId="13" xfId="0" applyNumberFormat="1" applyFont="1" applyBorder="1" applyAlignment="1">
      <alignment horizontal="center" vertical="center"/>
    </xf>
    <xf numFmtId="0" fontId="39" fillId="0" borderId="163" xfId="0" quotePrefix="1" applyFont="1" applyBorder="1" applyAlignment="1">
      <alignment horizontal="left" vertical="center" wrapText="1"/>
    </xf>
    <xf numFmtId="0" fontId="39" fillId="0" borderId="164" xfId="0" quotePrefix="1" applyFont="1" applyBorder="1" applyAlignment="1">
      <alignment horizontal="left" vertical="center" wrapText="1"/>
    </xf>
    <xf numFmtId="0" fontId="58" fillId="0" borderId="65" xfId="0" applyFont="1" applyBorder="1" applyAlignment="1">
      <alignment horizontal="center" vertical="center" wrapText="1"/>
    </xf>
    <xf numFmtId="0" fontId="39" fillId="0" borderId="163" xfId="0" applyFont="1" applyBorder="1" applyAlignment="1">
      <alignment horizontal="left" vertical="center" wrapText="1"/>
    </xf>
    <xf numFmtId="0" fontId="39" fillId="0" borderId="164" xfId="0" applyFont="1" applyBorder="1" applyAlignment="1">
      <alignment horizontal="left" vertical="center" wrapText="1"/>
    </xf>
    <xf numFmtId="0" fontId="30" fillId="13" borderId="65" xfId="0" applyFont="1" applyFill="1" applyBorder="1" applyAlignment="1">
      <alignment horizontal="left" vertical="center" wrapText="1"/>
    </xf>
    <xf numFmtId="14" fontId="30" fillId="0" borderId="13" xfId="0" applyNumberFormat="1" applyFont="1" applyBorder="1" applyAlignment="1">
      <alignment horizontal="center" vertical="center"/>
    </xf>
    <xf numFmtId="0" fontId="18" fillId="0" borderId="68" xfId="0" applyFont="1" applyBorder="1" applyAlignment="1">
      <alignment vertical="center"/>
    </xf>
    <xf numFmtId="0" fontId="18" fillId="0" borderId="100" xfId="0" applyFont="1" applyBorder="1" applyAlignment="1">
      <alignment vertical="center"/>
    </xf>
    <xf numFmtId="0" fontId="39" fillId="0" borderId="163" xfId="0" applyFont="1" applyBorder="1" applyAlignment="1">
      <alignment horizontal="left" vertical="center"/>
    </xf>
    <xf numFmtId="0" fontId="39" fillId="0" borderId="164" xfId="0" applyFont="1" applyBorder="1" applyAlignment="1">
      <alignment horizontal="left" vertical="center"/>
    </xf>
    <xf numFmtId="0" fontId="18" fillId="13" borderId="100" xfId="0" applyFont="1" applyFill="1" applyBorder="1" applyAlignment="1">
      <alignment vertical="center" wrapText="1"/>
    </xf>
    <xf numFmtId="0" fontId="30" fillId="0" borderId="99" xfId="0" applyFont="1" applyBorder="1" applyAlignment="1">
      <alignment horizontal="left" vertical="center"/>
    </xf>
    <xf numFmtId="0" fontId="58" fillId="0" borderId="100" xfId="0" applyFont="1" applyBorder="1" applyAlignment="1">
      <alignment horizontal="left" vertical="center" wrapText="1"/>
    </xf>
    <xf numFmtId="0" fontId="18" fillId="0" borderId="100" xfId="0" applyFont="1" applyBorder="1" applyAlignment="1">
      <alignment vertical="center" wrapText="1"/>
    </xf>
    <xf numFmtId="14" fontId="30" fillId="13" borderId="13" xfId="0" applyNumberFormat="1" applyFont="1" applyFill="1" applyBorder="1" applyAlignment="1">
      <alignment horizontal="center" vertical="center"/>
    </xf>
    <xf numFmtId="0" fontId="58" fillId="13" borderId="65" xfId="0" applyFont="1" applyFill="1" applyBorder="1" applyAlignment="1">
      <alignment horizontal="left" vertical="center" wrapText="1"/>
    </xf>
    <xf numFmtId="0" fontId="30" fillId="0" borderId="100" xfId="0" applyFont="1" applyBorder="1" applyAlignment="1">
      <alignment vertical="center" wrapText="1"/>
    </xf>
    <xf numFmtId="0" fontId="18" fillId="0" borderId="65" xfId="0" applyFont="1" applyBorder="1" applyAlignment="1">
      <alignment vertical="center" wrapText="1"/>
    </xf>
    <xf numFmtId="0" fontId="58" fillId="13" borderId="100" xfId="0" applyFont="1" applyFill="1" applyBorder="1" applyAlignment="1">
      <alignment horizontal="left" vertical="center" wrapText="1"/>
    </xf>
    <xf numFmtId="0" fontId="18" fillId="0" borderId="68" xfId="0" applyFont="1" applyBorder="1" applyAlignment="1">
      <alignment vertical="center" wrapText="1"/>
    </xf>
    <xf numFmtId="0" fontId="30" fillId="0" borderId="100" xfId="0" applyFont="1" applyBorder="1" applyAlignment="1">
      <alignment horizontal="left" vertical="center"/>
    </xf>
    <xf numFmtId="0" fontId="58" fillId="0" borderId="100" xfId="0" applyFont="1" applyBorder="1" applyAlignment="1">
      <alignment horizontal="center" vertical="center" wrapText="1"/>
    </xf>
    <xf numFmtId="0" fontId="39" fillId="0" borderId="163" xfId="0" applyFont="1" applyBorder="1" applyAlignment="1">
      <alignment vertical="center"/>
    </xf>
    <xf numFmtId="0" fontId="39" fillId="0" borderId="164" xfId="0" applyFont="1" applyBorder="1" applyAlignment="1">
      <alignment vertical="center"/>
    </xf>
    <xf numFmtId="0" fontId="30" fillId="0" borderId="76" xfId="0" applyFont="1" applyBorder="1" applyAlignment="1">
      <alignment horizontal="center" vertical="center"/>
    </xf>
    <xf numFmtId="0" fontId="58" fillId="0" borderId="106" xfId="0" applyFont="1" applyBorder="1" applyAlignment="1">
      <alignment horizontal="center" vertical="center" wrapText="1"/>
    </xf>
    <xf numFmtId="0" fontId="30" fillId="0" borderId="165" xfId="0" applyFont="1" applyBorder="1" applyAlignment="1">
      <alignment horizontal="center" vertical="center"/>
    </xf>
    <xf numFmtId="0" fontId="30" fillId="0" borderId="135" xfId="0" applyFont="1" applyBorder="1" applyAlignment="1">
      <alignment horizontal="left" vertical="center"/>
    </xf>
    <xf numFmtId="165" fontId="18" fillId="0" borderId="67" xfId="0" applyNumberFormat="1" applyFont="1" applyBorder="1" applyAlignment="1">
      <alignment horizontal="left" vertical="center"/>
    </xf>
    <xf numFmtId="0" fontId="18" fillId="0" borderId="67" xfId="0" applyFont="1" applyBorder="1" applyAlignment="1">
      <alignment horizontal="left" vertical="center" wrapText="1"/>
    </xf>
    <xf numFmtId="0" fontId="30" fillId="13" borderId="67" xfId="0" quotePrefix="1" applyFont="1" applyFill="1" applyBorder="1" applyAlignment="1">
      <alignment horizontal="center" vertical="center" wrapText="1"/>
    </xf>
    <xf numFmtId="0" fontId="30" fillId="0" borderId="67" xfId="0" applyFont="1" applyBorder="1" applyAlignment="1">
      <alignment horizontal="left" vertical="center" wrapText="1"/>
    </xf>
    <xf numFmtId="0" fontId="30" fillId="0" borderId="68" xfId="0" applyFont="1" applyBorder="1" applyAlignment="1">
      <alignment horizontal="left" vertical="center" wrapText="1"/>
    </xf>
    <xf numFmtId="0" fontId="30" fillId="0" borderId="166" xfId="0" applyFont="1" applyBorder="1" applyAlignment="1">
      <alignment horizontal="center" vertical="center"/>
    </xf>
    <xf numFmtId="0" fontId="30" fillId="0" borderId="167" xfId="0" applyFont="1" applyBorder="1" applyAlignment="1">
      <alignment horizontal="left" vertical="center"/>
    </xf>
    <xf numFmtId="0" fontId="18" fillId="0" borderId="167" xfId="0" applyFont="1" applyBorder="1" applyAlignment="1">
      <alignment vertical="center"/>
    </xf>
    <xf numFmtId="165" fontId="18" fillId="0" borderId="167" xfId="0" applyNumberFormat="1" applyFont="1" applyBorder="1" applyAlignment="1">
      <alignment horizontal="left" vertical="center"/>
    </xf>
    <xf numFmtId="0" fontId="18" fillId="0" borderId="167" xfId="0" quotePrefix="1" applyFont="1" applyBorder="1" applyAlignment="1">
      <alignment horizontal="left" vertical="center" wrapText="1"/>
    </xf>
    <xf numFmtId="0" fontId="30" fillId="13" borderId="167" xfId="0" quotePrefix="1" applyFont="1" applyFill="1" applyBorder="1" applyAlignment="1">
      <alignment horizontal="center" vertical="center" wrapText="1"/>
    </xf>
    <xf numFmtId="0" fontId="30" fillId="0" borderId="167" xfId="0" applyFont="1" applyBorder="1" applyAlignment="1">
      <alignment horizontal="left" vertical="center" wrapText="1"/>
    </xf>
    <xf numFmtId="0" fontId="30" fillId="0" borderId="167" xfId="0" applyFont="1" applyBorder="1" applyAlignment="1">
      <alignment horizontal="center" vertical="center" wrapText="1"/>
    </xf>
    <xf numFmtId="0" fontId="30" fillId="13" borderId="167" xfId="0" applyFont="1" applyFill="1" applyBorder="1" applyAlignment="1">
      <alignment horizontal="center" vertical="center" wrapText="1"/>
    </xf>
    <xf numFmtId="0" fontId="30" fillId="0" borderId="168" xfId="0" applyFont="1" applyBorder="1" applyAlignment="1">
      <alignment horizontal="left" vertical="center" wrapText="1"/>
    </xf>
  </cellXfs>
  <cellStyles count="4">
    <cellStyle name="Normal" xfId="0" builtinId="0"/>
    <cellStyle name="Normal 2" xfId="2" xr:uid="{6556B3AE-B2A5-4E07-BD9B-2C03A8DD2C40}"/>
    <cellStyle name="Normal 2 4" xfId="3" xr:uid="{E7811708-EDC0-4A33-A3E6-75E6251C6C24}"/>
    <cellStyle name="Percent" xfId="1" builtinId="5"/>
  </cellStyles>
  <dxfs count="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1619250</xdr:colOff>
      <xdr:row>0</xdr:row>
      <xdr:rowOff>0</xdr:rowOff>
    </xdr:from>
    <xdr:to>
      <xdr:col>3</xdr:col>
      <xdr:colOff>330574</xdr:colOff>
      <xdr:row>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60100E-E4B4-4D3C-A463-770B0517D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914525" y="0"/>
          <a:ext cx="1825999" cy="1447799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2047875</xdr:colOff>
      <xdr:row>0</xdr:row>
      <xdr:rowOff>38100</xdr:rowOff>
    </xdr:from>
    <xdr:to>
      <xdr:col>18</xdr:col>
      <xdr:colOff>599634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42709B-4255-43B0-93F5-31367FC04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7050" y="38100"/>
          <a:ext cx="1228844" cy="114300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ildan\Form%20Pendataan%20Mei%202025%20-%20SMPN%202%20Karangtengah%20Demak.xlsx" TargetMode="External"/><Relationship Id="rId1" Type="http://schemas.openxmlformats.org/officeDocument/2006/relationships/externalLinkPath" Target="Form%20Pendataan%20Mei%202025%20-%20SMPN%202%20Karangtengah%20Dema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epala Sekolah"/>
      <sheetName val="PNS, CPNS, PPPK~Guru"/>
      <sheetName val="PNS~Pelaksana"/>
      <sheetName val="GTT"/>
      <sheetName val="PTT"/>
      <sheetName val="Kebutuhan Guru"/>
    </sheetNames>
    <sheetDataSet>
      <sheetData sheetId="0">
        <row r="3">
          <cell r="A3" t="str">
            <v>UNIT KERJA : SMP NEGERI 2 KARANGTENGAH</v>
          </cell>
        </row>
        <row r="13">
          <cell r="K13" t="str">
            <v>Kepala SMP Negeri 2 Karangtengah</v>
          </cell>
        </row>
        <row r="14">
          <cell r="K14" t="str">
            <v>Kabupaten Demak</v>
          </cell>
        </row>
        <row r="17">
          <cell r="K17" t="str">
            <v>PRIYANTONO, S.Pd., M.Pd.</v>
          </cell>
        </row>
        <row r="18">
          <cell r="K18" t="str">
            <v>NIP. 196902251994031005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48EF2-1A0F-4AE7-98D1-2491B25CC167}">
  <dimension ref="A1:M18"/>
  <sheetViews>
    <sheetView view="pageBreakPreview" zoomScale="60" zoomScaleNormal="100" workbookViewId="0">
      <selection activeCell="F7" sqref="F7:F9"/>
    </sheetView>
  </sheetViews>
  <sheetFormatPr defaultRowHeight="15" x14ac:dyDescent="0.25"/>
  <cols>
    <col min="1" max="1" width="5.5703125" bestFit="1" customWidth="1"/>
    <col min="2" max="2" width="33.28515625" bestFit="1" customWidth="1"/>
    <col min="3" max="3" width="19.42578125" bestFit="1" customWidth="1"/>
    <col min="4" max="4" width="14" bestFit="1" customWidth="1"/>
    <col min="5" max="5" width="27.28515625" customWidth="1"/>
    <col min="6" max="6" width="25" bestFit="1" customWidth="1"/>
    <col min="7" max="7" width="11.7109375" bestFit="1" customWidth="1"/>
    <col min="8" max="8" width="13.42578125" customWidth="1"/>
    <col min="9" max="9" width="7.140625" bestFit="1" customWidth="1"/>
    <col min="10" max="10" width="14.7109375" bestFit="1" customWidth="1"/>
    <col min="11" max="11" width="21.140625" customWidth="1"/>
    <col min="12" max="12" width="13.42578125" bestFit="1" customWidth="1"/>
    <col min="13" max="13" width="33" bestFit="1" customWidth="1"/>
  </cols>
  <sheetData>
    <row r="1" spans="1:13" x14ac:dyDescent="0.25">
      <c r="M1" s="257" t="s">
        <v>421</v>
      </c>
    </row>
    <row r="2" spans="1:13" ht="18" x14ac:dyDescent="0.25">
      <c r="A2" s="350" t="s">
        <v>422</v>
      </c>
      <c r="B2" s="350"/>
      <c r="C2" s="350"/>
      <c r="D2" s="350"/>
      <c r="E2" s="350"/>
      <c r="F2" s="350"/>
      <c r="G2" s="350"/>
      <c r="H2" s="350"/>
      <c r="I2" s="350"/>
      <c r="J2" s="350"/>
      <c r="K2" s="350"/>
      <c r="L2" s="350"/>
      <c r="M2" s="350"/>
    </row>
    <row r="3" spans="1:13" ht="15.75" x14ac:dyDescent="0.25">
      <c r="A3" s="351" t="s">
        <v>423</v>
      </c>
      <c r="B3" s="351"/>
      <c r="C3" s="351"/>
      <c r="D3" s="351"/>
      <c r="E3" s="351"/>
      <c r="F3" s="351"/>
      <c r="G3" s="351"/>
      <c r="H3" s="351"/>
      <c r="I3" s="351"/>
      <c r="J3" s="351"/>
      <c r="K3" s="351"/>
      <c r="L3" s="351"/>
      <c r="M3" s="351"/>
    </row>
    <row r="4" spans="1:13" ht="15.75" x14ac:dyDescent="0.25">
      <c r="A4" s="351" t="s">
        <v>599</v>
      </c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</row>
    <row r="5" spans="1:13" ht="15.75" x14ac:dyDescent="0.25">
      <c r="A5" s="218"/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</row>
    <row r="6" spans="1:13" ht="15.75" thickBot="1" x14ac:dyDescent="0.3">
      <c r="A6" s="219"/>
      <c r="B6" s="219"/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</row>
    <row r="7" spans="1:13" ht="15.75" x14ac:dyDescent="0.25">
      <c r="A7" s="776" t="s">
        <v>8</v>
      </c>
      <c r="B7" s="777" t="s">
        <v>424</v>
      </c>
      <c r="C7" s="778" t="s">
        <v>425</v>
      </c>
      <c r="D7" s="778" t="s">
        <v>426</v>
      </c>
      <c r="E7" s="778" t="s">
        <v>546</v>
      </c>
      <c r="F7" s="778" t="s">
        <v>547</v>
      </c>
      <c r="G7" s="779" t="s">
        <v>427</v>
      </c>
      <c r="H7" s="780"/>
      <c r="I7" s="781" t="s">
        <v>428</v>
      </c>
      <c r="J7" s="781"/>
      <c r="K7" s="779" t="s">
        <v>429</v>
      </c>
      <c r="L7" s="780"/>
      <c r="M7" s="782" t="s">
        <v>430</v>
      </c>
    </row>
    <row r="8" spans="1:13" x14ac:dyDescent="0.25">
      <c r="A8" s="783"/>
      <c r="B8" s="764"/>
      <c r="C8" s="765"/>
      <c r="D8" s="765"/>
      <c r="E8" s="765"/>
      <c r="F8" s="765"/>
      <c r="G8" s="763" t="s">
        <v>431</v>
      </c>
      <c r="H8" s="762" t="s">
        <v>432</v>
      </c>
      <c r="I8" s="763" t="s">
        <v>433</v>
      </c>
      <c r="J8" s="763" t="s">
        <v>434</v>
      </c>
      <c r="K8" s="763" t="s">
        <v>435</v>
      </c>
      <c r="L8" s="763" t="s">
        <v>436</v>
      </c>
      <c r="M8" s="784"/>
    </row>
    <row r="9" spans="1:13" ht="15.75" thickBot="1" x14ac:dyDescent="0.3">
      <c r="A9" s="799"/>
      <c r="B9" s="800"/>
      <c r="C9" s="801"/>
      <c r="D9" s="801"/>
      <c r="E9" s="801"/>
      <c r="F9" s="801"/>
      <c r="G9" s="801"/>
      <c r="H9" s="800"/>
      <c r="I9" s="801"/>
      <c r="J9" s="801"/>
      <c r="K9" s="801"/>
      <c r="L9" s="801"/>
      <c r="M9" s="802"/>
    </row>
    <row r="10" spans="1:13" ht="67.5" customHeight="1" thickBot="1" x14ac:dyDescent="0.3">
      <c r="A10" s="789" t="s">
        <v>437</v>
      </c>
      <c r="B10" s="790" t="s">
        <v>138</v>
      </c>
      <c r="C10" s="791" t="s">
        <v>438</v>
      </c>
      <c r="D10" s="792">
        <v>23950</v>
      </c>
      <c r="E10" s="793" t="s">
        <v>280</v>
      </c>
      <c r="F10" s="793" t="s">
        <v>439</v>
      </c>
      <c r="G10" s="791" t="s">
        <v>63</v>
      </c>
      <c r="H10" s="794">
        <v>43556</v>
      </c>
      <c r="I10" s="795" t="s">
        <v>440</v>
      </c>
      <c r="J10" s="796" t="s">
        <v>441</v>
      </c>
      <c r="K10" s="795" t="s">
        <v>442</v>
      </c>
      <c r="L10" s="797">
        <v>42307</v>
      </c>
      <c r="M10" s="798" t="s">
        <v>443</v>
      </c>
    </row>
    <row r="11" spans="1:13" x14ac:dyDescent="0.25">
      <c r="A11" s="773"/>
      <c r="B11" s="773"/>
      <c r="C11" s="773"/>
      <c r="D11" s="773"/>
      <c r="E11" s="773"/>
      <c r="F11" s="773"/>
      <c r="G11" s="773"/>
      <c r="H11" s="773"/>
      <c r="I11" s="773"/>
      <c r="J11" s="773"/>
      <c r="K11" s="773"/>
      <c r="L11" s="773"/>
      <c r="M11" s="773"/>
    </row>
    <row r="12" spans="1:13" ht="15.75" x14ac:dyDescent="0.25">
      <c r="A12" s="773"/>
      <c r="B12" s="773"/>
      <c r="C12" s="773"/>
      <c r="D12" s="773"/>
      <c r="E12" s="773"/>
      <c r="F12" s="773"/>
      <c r="G12" s="773"/>
      <c r="H12" s="773"/>
      <c r="I12" s="773"/>
      <c r="J12" s="774"/>
      <c r="K12" s="775" t="s">
        <v>598</v>
      </c>
      <c r="L12" s="775"/>
      <c r="M12" s="773"/>
    </row>
    <row r="13" spans="1:13" ht="15.75" x14ac:dyDescent="0.25">
      <c r="A13" s="773"/>
      <c r="B13" s="773"/>
      <c r="C13" s="773"/>
      <c r="D13" s="773"/>
      <c r="E13" s="773"/>
      <c r="F13" s="773"/>
      <c r="G13" s="773"/>
      <c r="H13" s="773"/>
      <c r="I13" s="773"/>
      <c r="J13" s="774"/>
      <c r="K13" s="775" t="s">
        <v>100</v>
      </c>
      <c r="L13" s="775"/>
      <c r="M13" s="773"/>
    </row>
    <row r="14" spans="1:13" ht="15.75" x14ac:dyDescent="0.25">
      <c r="A14" s="773"/>
      <c r="B14" s="773"/>
      <c r="C14" s="773"/>
      <c r="D14" s="773"/>
      <c r="E14" s="773"/>
      <c r="F14" s="773"/>
      <c r="G14" s="773"/>
      <c r="H14" s="773"/>
      <c r="I14" s="773"/>
      <c r="J14" s="774"/>
      <c r="K14" s="775" t="s">
        <v>444</v>
      </c>
      <c r="L14" s="775"/>
      <c r="M14" s="773"/>
    </row>
    <row r="15" spans="1:13" ht="15.75" x14ac:dyDescent="0.25">
      <c r="A15" s="773"/>
      <c r="B15" s="773"/>
      <c r="C15" s="773"/>
      <c r="D15" s="773"/>
      <c r="E15" s="773"/>
      <c r="F15" s="773"/>
      <c r="G15" s="773"/>
      <c r="H15" s="773"/>
      <c r="I15" s="773"/>
      <c r="J15" s="774"/>
      <c r="K15" s="773"/>
      <c r="L15" s="774"/>
      <c r="M15" s="773"/>
    </row>
    <row r="16" spans="1:13" ht="15.75" x14ac:dyDescent="0.25">
      <c r="A16" s="773"/>
      <c r="B16" s="773"/>
      <c r="C16" s="773"/>
      <c r="D16" s="773"/>
      <c r="E16" s="773"/>
      <c r="F16" s="773"/>
      <c r="G16" s="773"/>
      <c r="H16" s="773"/>
      <c r="I16" s="773"/>
      <c r="J16" s="774"/>
      <c r="K16" s="773"/>
      <c r="L16" s="774"/>
      <c r="M16" s="773"/>
    </row>
    <row r="17" spans="1:13" ht="15.75" x14ac:dyDescent="0.25">
      <c r="A17" s="773"/>
      <c r="B17" s="773"/>
      <c r="C17" s="773"/>
      <c r="D17" s="773"/>
      <c r="E17" s="773"/>
      <c r="F17" s="773"/>
      <c r="G17" s="773"/>
      <c r="H17" s="773"/>
      <c r="I17" s="773"/>
      <c r="J17" s="774"/>
      <c r="K17" s="351" t="s">
        <v>138</v>
      </c>
      <c r="L17" s="351"/>
      <c r="M17" s="773"/>
    </row>
    <row r="18" spans="1:13" ht="15.75" x14ac:dyDescent="0.25">
      <c r="A18" s="773"/>
      <c r="B18" s="773"/>
      <c r="C18" s="773"/>
      <c r="D18" s="773"/>
      <c r="E18" s="773"/>
      <c r="F18" s="773"/>
      <c r="G18" s="773"/>
      <c r="H18" s="773"/>
      <c r="I18" s="773"/>
      <c r="J18" s="774"/>
      <c r="K18" s="775" t="s">
        <v>106</v>
      </c>
      <c r="L18" s="775"/>
      <c r="M18" s="773"/>
    </row>
  </sheetData>
  <mergeCells count="24">
    <mergeCell ref="A2:M2"/>
    <mergeCell ref="A3:M3"/>
    <mergeCell ref="A4:M4"/>
    <mergeCell ref="A7:A9"/>
    <mergeCell ref="B7:B9"/>
    <mergeCell ref="C7:C9"/>
    <mergeCell ref="D7:D9"/>
    <mergeCell ref="E7:E9"/>
    <mergeCell ref="F7:F9"/>
    <mergeCell ref="G7:H7"/>
    <mergeCell ref="I7:J7"/>
    <mergeCell ref="K7:L7"/>
    <mergeCell ref="M7:M9"/>
    <mergeCell ref="G8:G9"/>
    <mergeCell ref="H8:H9"/>
    <mergeCell ref="I8:I9"/>
    <mergeCell ref="K14:L14"/>
    <mergeCell ref="K17:L17"/>
    <mergeCell ref="K18:L18"/>
    <mergeCell ref="J8:J9"/>
    <mergeCell ref="K8:K9"/>
    <mergeCell ref="L8:L9"/>
    <mergeCell ref="K12:L12"/>
    <mergeCell ref="K13:L13"/>
  </mergeCells>
  <printOptions horizontalCentered="1"/>
  <pageMargins left="3.937007874015748E-2" right="3.937007874015748E-2" top="3.937007874015748E-2" bottom="3.937007874015748E-2" header="3.937007874015748E-2" footer="3.937007874015748E-2"/>
  <pageSetup paperSize="20000" scale="6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35AD-31EE-4A1A-BB97-CE025626E97E}">
  <dimension ref="A1:O77"/>
  <sheetViews>
    <sheetView view="pageBreakPreview" zoomScale="60" zoomScaleNormal="100" workbookViewId="0">
      <selection activeCell="I50" sqref="I50"/>
    </sheetView>
  </sheetViews>
  <sheetFormatPr defaultRowHeight="15" x14ac:dyDescent="0.25"/>
  <cols>
    <col min="1" max="1" width="6.85546875" customWidth="1"/>
    <col min="2" max="2" width="41.28515625" bestFit="1" customWidth="1"/>
    <col min="3" max="3" width="8" bestFit="1" customWidth="1"/>
    <col min="4" max="4" width="14" bestFit="1" customWidth="1"/>
    <col min="5" max="5" width="7.28515625" bestFit="1" customWidth="1"/>
    <col min="6" max="6" width="14.7109375" customWidth="1"/>
    <col min="7" max="7" width="17.7109375" customWidth="1"/>
    <col min="8" max="8" width="14.85546875" bestFit="1" customWidth="1"/>
    <col min="9" max="9" width="10.28515625" bestFit="1" customWidth="1"/>
    <col min="10" max="10" width="14" bestFit="1" customWidth="1"/>
    <col min="11" max="11" width="9.140625" bestFit="1" customWidth="1"/>
    <col min="12" max="12" width="17" bestFit="1" customWidth="1"/>
    <col min="13" max="13" width="7.28515625" bestFit="1" customWidth="1"/>
    <col min="14" max="14" width="6.85546875" bestFit="1" customWidth="1"/>
    <col min="15" max="15" width="18.140625" bestFit="1" customWidth="1"/>
  </cols>
  <sheetData>
    <row r="1" spans="1:15" x14ac:dyDescent="0.25">
      <c r="C1" s="65"/>
      <c r="D1" s="65"/>
      <c r="G1" s="65"/>
      <c r="H1" s="65"/>
      <c r="I1" s="65"/>
      <c r="J1" s="65"/>
      <c r="L1" s="65"/>
      <c r="M1" s="65"/>
      <c r="O1" s="261" t="s">
        <v>445</v>
      </c>
    </row>
    <row r="2" spans="1:15" ht="18" x14ac:dyDescent="0.25">
      <c r="A2" s="350" t="s">
        <v>446</v>
      </c>
      <c r="B2" s="350"/>
      <c r="C2" s="350"/>
      <c r="D2" s="350"/>
      <c r="E2" s="350"/>
      <c r="F2" s="350"/>
      <c r="G2" s="350"/>
      <c r="H2" s="350"/>
      <c r="I2" s="350"/>
      <c r="J2" s="350"/>
      <c r="K2" s="350"/>
      <c r="L2" s="350"/>
      <c r="M2" s="350"/>
      <c r="N2" s="350"/>
      <c r="O2" s="350"/>
    </row>
    <row r="3" spans="1:15" x14ac:dyDescent="0.25">
      <c r="A3" s="366" t="str">
        <f>'[1]Kepala Sekolah'!A3</f>
        <v>UNIT KERJA : SMP NEGERI 2 KARANGTENGAH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</row>
    <row r="4" spans="1:15" ht="15.75" x14ac:dyDescent="0.25">
      <c r="A4" s="351" t="str">
        <f>'Kepala Sekolah'!A4</f>
        <v>PER : 1 Agustus 2025</v>
      </c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  <c r="O4" s="351"/>
    </row>
    <row r="5" spans="1:15" ht="15.75" thickBot="1" x14ac:dyDescent="0.3">
      <c r="A5" s="219"/>
      <c r="B5" s="219"/>
      <c r="C5" s="227"/>
      <c r="D5" s="227"/>
      <c r="E5" s="219"/>
      <c r="F5" s="219"/>
      <c r="G5" s="227"/>
      <c r="H5" s="227"/>
      <c r="I5" s="227"/>
      <c r="J5" s="227"/>
      <c r="K5" s="219"/>
      <c r="L5" s="227"/>
      <c r="M5" s="227"/>
      <c r="N5" s="219"/>
      <c r="O5" s="260"/>
    </row>
    <row r="6" spans="1:15" ht="54" customHeight="1" x14ac:dyDescent="0.25">
      <c r="A6" s="864" t="s">
        <v>8</v>
      </c>
      <c r="B6" s="865" t="s">
        <v>447</v>
      </c>
      <c r="C6" s="778" t="s">
        <v>425</v>
      </c>
      <c r="D6" s="778" t="s">
        <v>426</v>
      </c>
      <c r="E6" s="778" t="s">
        <v>448</v>
      </c>
      <c r="F6" s="866" t="s">
        <v>449</v>
      </c>
      <c r="G6" s="778" t="s">
        <v>546</v>
      </c>
      <c r="H6" s="778" t="s">
        <v>547</v>
      </c>
      <c r="I6" s="779" t="s">
        <v>427</v>
      </c>
      <c r="J6" s="780"/>
      <c r="K6" s="781" t="s">
        <v>450</v>
      </c>
      <c r="L6" s="781"/>
      <c r="M6" s="779" t="s">
        <v>451</v>
      </c>
      <c r="N6" s="780"/>
      <c r="O6" s="782" t="s">
        <v>430</v>
      </c>
    </row>
    <row r="7" spans="1:15" ht="80.25" customHeight="1" thickBot="1" x14ac:dyDescent="0.3">
      <c r="A7" s="867"/>
      <c r="B7" s="868" t="s">
        <v>424</v>
      </c>
      <c r="C7" s="801"/>
      <c r="D7" s="801"/>
      <c r="E7" s="801"/>
      <c r="F7" s="869" t="s">
        <v>452</v>
      </c>
      <c r="G7" s="801"/>
      <c r="H7" s="801"/>
      <c r="I7" s="868" t="s">
        <v>613</v>
      </c>
      <c r="J7" s="868" t="s">
        <v>432</v>
      </c>
      <c r="K7" s="868" t="s">
        <v>611</v>
      </c>
      <c r="L7" s="868" t="s">
        <v>612</v>
      </c>
      <c r="M7" s="868" t="s">
        <v>453</v>
      </c>
      <c r="N7" s="868" t="s">
        <v>454</v>
      </c>
      <c r="O7" s="802"/>
    </row>
    <row r="8" spans="1:15" ht="15.75" x14ac:dyDescent="0.25">
      <c r="A8" s="873" t="s">
        <v>455</v>
      </c>
      <c r="B8" s="863"/>
      <c r="C8" s="863"/>
      <c r="D8" s="863"/>
      <c r="E8" s="863"/>
      <c r="F8" s="863"/>
      <c r="G8" s="863"/>
      <c r="H8" s="863"/>
      <c r="I8" s="863"/>
      <c r="J8" s="863"/>
      <c r="K8" s="863"/>
      <c r="L8" s="863"/>
      <c r="M8" s="863"/>
      <c r="N8" s="863"/>
      <c r="O8" s="874"/>
    </row>
    <row r="9" spans="1:15" ht="60" x14ac:dyDescent="0.25">
      <c r="A9" s="875" t="s">
        <v>437</v>
      </c>
      <c r="B9" s="769" t="s">
        <v>591</v>
      </c>
      <c r="C9" s="145" t="s">
        <v>438</v>
      </c>
      <c r="D9" s="803">
        <v>28276</v>
      </c>
      <c r="E9" s="804" t="s">
        <v>295</v>
      </c>
      <c r="F9" s="804" t="s">
        <v>456</v>
      </c>
      <c r="G9" s="805" t="s">
        <v>29</v>
      </c>
      <c r="H9" s="806" t="s">
        <v>457</v>
      </c>
      <c r="I9" s="807" t="s">
        <v>30</v>
      </c>
      <c r="J9" s="808">
        <v>43922</v>
      </c>
      <c r="K9" s="809" t="s">
        <v>296</v>
      </c>
      <c r="L9" s="804" t="s">
        <v>458</v>
      </c>
      <c r="M9" s="810" t="s">
        <v>459</v>
      </c>
      <c r="N9" s="810"/>
      <c r="O9" s="876" t="s">
        <v>460</v>
      </c>
    </row>
    <row r="10" spans="1:15" x14ac:dyDescent="0.25">
      <c r="A10" s="875" t="s">
        <v>461</v>
      </c>
      <c r="B10" s="769"/>
      <c r="C10" s="804"/>
      <c r="D10" s="803"/>
      <c r="E10" s="804"/>
      <c r="F10" s="804"/>
      <c r="G10" s="804"/>
      <c r="H10" s="806"/>
      <c r="I10" s="807"/>
      <c r="J10" s="877"/>
      <c r="K10" s="809"/>
      <c r="L10" s="804"/>
      <c r="M10" s="810"/>
      <c r="N10" s="810"/>
      <c r="O10" s="876"/>
    </row>
    <row r="11" spans="1:15" ht="15.75" x14ac:dyDescent="0.25">
      <c r="A11" s="878" t="s">
        <v>462</v>
      </c>
      <c r="B11" s="811"/>
      <c r="C11" s="811"/>
      <c r="D11" s="811"/>
      <c r="E11" s="811"/>
      <c r="F11" s="811"/>
      <c r="G11" s="811"/>
      <c r="H11" s="811"/>
      <c r="I11" s="811"/>
      <c r="J11" s="811"/>
      <c r="K11" s="811"/>
      <c r="L11" s="811"/>
      <c r="M11" s="811"/>
      <c r="N11" s="811"/>
      <c r="O11" s="879"/>
    </row>
    <row r="12" spans="1:15" ht="15.75" x14ac:dyDescent="0.25">
      <c r="A12" s="875"/>
      <c r="B12" s="812" t="s">
        <v>34</v>
      </c>
      <c r="C12" s="804"/>
      <c r="D12" s="804"/>
      <c r="E12" s="804"/>
      <c r="F12" s="804"/>
      <c r="G12" s="804"/>
      <c r="H12" s="804"/>
      <c r="I12" s="813"/>
      <c r="J12" s="814"/>
      <c r="K12" s="813"/>
      <c r="L12" s="813"/>
      <c r="M12" s="814"/>
      <c r="N12" s="814"/>
      <c r="O12" s="880"/>
    </row>
    <row r="13" spans="1:15" ht="15.75" x14ac:dyDescent="0.25">
      <c r="A13" s="878" t="s">
        <v>463</v>
      </c>
      <c r="B13" s="811"/>
      <c r="C13" s="811"/>
      <c r="D13" s="811"/>
      <c r="E13" s="811"/>
      <c r="F13" s="811"/>
      <c r="G13" s="811"/>
      <c r="H13" s="811"/>
      <c r="I13" s="811"/>
      <c r="J13" s="811"/>
      <c r="K13" s="811"/>
      <c r="L13" s="811"/>
      <c r="M13" s="811"/>
      <c r="N13" s="811"/>
      <c r="O13" s="879"/>
    </row>
    <row r="14" spans="1:15" ht="15.75" x14ac:dyDescent="0.25">
      <c r="A14" s="875"/>
      <c r="B14" s="812" t="s">
        <v>34</v>
      </c>
      <c r="C14" s="804"/>
      <c r="D14" s="804"/>
      <c r="E14" s="804"/>
      <c r="F14" s="804"/>
      <c r="G14" s="804"/>
      <c r="H14" s="804"/>
      <c r="I14" s="813"/>
      <c r="J14" s="814"/>
      <c r="K14" s="813"/>
      <c r="L14" s="813"/>
      <c r="M14" s="814"/>
      <c r="N14" s="814"/>
      <c r="O14" s="880"/>
    </row>
    <row r="15" spans="1:15" ht="15.75" x14ac:dyDescent="0.25">
      <c r="A15" s="878" t="s">
        <v>464</v>
      </c>
      <c r="B15" s="811"/>
      <c r="C15" s="811"/>
      <c r="D15" s="811"/>
      <c r="E15" s="811"/>
      <c r="F15" s="811"/>
      <c r="G15" s="811"/>
      <c r="H15" s="811"/>
      <c r="I15" s="811"/>
      <c r="J15" s="811"/>
      <c r="K15" s="811"/>
      <c r="L15" s="811"/>
      <c r="M15" s="811"/>
      <c r="N15" s="811"/>
      <c r="O15" s="879"/>
    </row>
    <row r="16" spans="1:15" ht="15.75" x14ac:dyDescent="0.25">
      <c r="A16" s="875"/>
      <c r="B16" s="812" t="s">
        <v>34</v>
      </c>
      <c r="C16" s="804"/>
      <c r="D16" s="804"/>
      <c r="E16" s="804"/>
      <c r="F16" s="804"/>
      <c r="G16" s="804"/>
      <c r="H16" s="804"/>
      <c r="I16" s="813"/>
      <c r="J16" s="814"/>
      <c r="K16" s="813"/>
      <c r="L16" s="813"/>
      <c r="M16" s="814"/>
      <c r="N16" s="814"/>
      <c r="O16" s="880"/>
    </row>
    <row r="17" spans="1:15" ht="15.75" x14ac:dyDescent="0.25">
      <c r="A17" s="878" t="s">
        <v>465</v>
      </c>
      <c r="B17" s="811"/>
      <c r="C17" s="811"/>
      <c r="D17" s="811"/>
      <c r="E17" s="811"/>
      <c r="F17" s="811"/>
      <c r="G17" s="811"/>
      <c r="H17" s="811"/>
      <c r="I17" s="811"/>
      <c r="J17" s="811"/>
      <c r="K17" s="811"/>
      <c r="L17" s="811"/>
      <c r="M17" s="811"/>
      <c r="N17" s="811"/>
      <c r="O17" s="879"/>
    </row>
    <row r="18" spans="1:15" ht="15.75" x14ac:dyDescent="0.25">
      <c r="A18" s="875"/>
      <c r="B18" s="812" t="s">
        <v>34</v>
      </c>
      <c r="C18" s="804"/>
      <c r="D18" s="804"/>
      <c r="E18" s="804"/>
      <c r="F18" s="804"/>
      <c r="G18" s="804"/>
      <c r="H18" s="804"/>
      <c r="I18" s="813"/>
      <c r="J18" s="814"/>
      <c r="K18" s="813"/>
      <c r="L18" s="813"/>
      <c r="M18" s="814"/>
      <c r="N18" s="814"/>
      <c r="O18" s="880"/>
    </row>
    <row r="19" spans="1:15" ht="15.75" x14ac:dyDescent="0.25">
      <c r="A19" s="881" t="s">
        <v>97</v>
      </c>
      <c r="B19" s="815"/>
      <c r="C19" s="815"/>
      <c r="D19" s="815"/>
      <c r="E19" s="815"/>
      <c r="F19" s="815"/>
      <c r="G19" s="815"/>
      <c r="H19" s="815"/>
      <c r="I19" s="815"/>
      <c r="J19" s="815"/>
      <c r="K19" s="815"/>
      <c r="L19" s="815"/>
      <c r="M19" s="815"/>
      <c r="N19" s="815"/>
      <c r="O19" s="882"/>
    </row>
    <row r="20" spans="1:15" ht="30" x14ac:dyDescent="0.25">
      <c r="A20" s="875" t="s">
        <v>437</v>
      </c>
      <c r="B20" s="769" t="s">
        <v>466</v>
      </c>
      <c r="C20" s="816" t="s">
        <v>467</v>
      </c>
      <c r="D20" s="817">
        <v>26337</v>
      </c>
      <c r="E20" s="145" t="s">
        <v>295</v>
      </c>
      <c r="F20" s="818" t="s">
        <v>468</v>
      </c>
      <c r="G20" s="805" t="s">
        <v>96</v>
      </c>
      <c r="H20" s="806" t="s">
        <v>469</v>
      </c>
      <c r="I20" s="807" t="s">
        <v>46</v>
      </c>
      <c r="J20" s="808">
        <v>44256</v>
      </c>
      <c r="K20" s="809" t="s">
        <v>296</v>
      </c>
      <c r="L20" s="807" t="s">
        <v>470</v>
      </c>
      <c r="M20" s="810" t="s">
        <v>459</v>
      </c>
      <c r="N20" s="819"/>
      <c r="O20" s="883" t="s">
        <v>471</v>
      </c>
    </row>
    <row r="21" spans="1:15" x14ac:dyDescent="0.25">
      <c r="A21" s="875" t="s">
        <v>461</v>
      </c>
      <c r="B21" s="334"/>
      <c r="C21" s="338"/>
      <c r="D21" s="820"/>
      <c r="E21" s="338"/>
      <c r="F21" s="821"/>
      <c r="G21" s="822"/>
      <c r="H21" s="823"/>
      <c r="I21" s="807"/>
      <c r="J21" s="884"/>
      <c r="K21" s="824"/>
      <c r="L21" s="825"/>
      <c r="M21" s="810"/>
      <c r="N21" s="819"/>
      <c r="O21" s="885"/>
    </row>
    <row r="22" spans="1:15" x14ac:dyDescent="0.25">
      <c r="A22" s="875"/>
      <c r="B22" s="769"/>
      <c r="C22" s="145"/>
      <c r="D22" s="808"/>
      <c r="E22" s="145"/>
      <c r="F22" s="772"/>
      <c r="G22" s="770"/>
      <c r="H22" s="827"/>
      <c r="I22" s="772"/>
      <c r="J22" s="771"/>
      <c r="K22" s="816"/>
      <c r="L22" s="828"/>
      <c r="M22" s="829"/>
      <c r="N22" s="830"/>
      <c r="O22" s="886"/>
    </row>
    <row r="23" spans="1:15" ht="15.75" x14ac:dyDescent="0.25">
      <c r="A23" s="887" t="s">
        <v>305</v>
      </c>
      <c r="B23" s="831"/>
      <c r="C23" s="831"/>
      <c r="D23" s="831"/>
      <c r="E23" s="831"/>
      <c r="F23" s="831"/>
      <c r="G23" s="831"/>
      <c r="H23" s="831"/>
      <c r="I23" s="831"/>
      <c r="J23" s="831"/>
      <c r="K23" s="831"/>
      <c r="L23" s="831"/>
      <c r="M23" s="831"/>
      <c r="N23" s="831"/>
      <c r="O23" s="888"/>
    </row>
    <row r="24" spans="1:15" ht="45" x14ac:dyDescent="0.25">
      <c r="A24" s="875" t="s">
        <v>437</v>
      </c>
      <c r="B24" s="769" t="s">
        <v>472</v>
      </c>
      <c r="C24" s="142" t="s">
        <v>438</v>
      </c>
      <c r="D24" s="808">
        <v>25071</v>
      </c>
      <c r="E24" s="145" t="s">
        <v>279</v>
      </c>
      <c r="F24" s="818" t="s">
        <v>456</v>
      </c>
      <c r="G24" s="805" t="s">
        <v>39</v>
      </c>
      <c r="H24" s="806" t="s">
        <v>473</v>
      </c>
      <c r="I24" s="807" t="s">
        <v>40</v>
      </c>
      <c r="J24" s="771">
        <v>44470</v>
      </c>
      <c r="K24" s="809" t="s">
        <v>296</v>
      </c>
      <c r="L24" s="832" t="s">
        <v>305</v>
      </c>
      <c r="M24" s="810" t="s">
        <v>459</v>
      </c>
      <c r="N24" s="810"/>
      <c r="O24" s="889" t="s">
        <v>474</v>
      </c>
    </row>
    <row r="25" spans="1:15" ht="30" x14ac:dyDescent="0.25">
      <c r="A25" s="875" t="s">
        <v>461</v>
      </c>
      <c r="B25" s="769" t="s">
        <v>475</v>
      </c>
      <c r="C25" s="145" t="s">
        <v>438</v>
      </c>
      <c r="D25" s="817">
        <v>27806</v>
      </c>
      <c r="E25" s="145" t="s">
        <v>295</v>
      </c>
      <c r="F25" s="818" t="s">
        <v>468</v>
      </c>
      <c r="G25" s="805" t="s">
        <v>45</v>
      </c>
      <c r="H25" s="806" t="s">
        <v>476</v>
      </c>
      <c r="I25" s="807" t="s">
        <v>46</v>
      </c>
      <c r="J25" s="884">
        <v>44682</v>
      </c>
      <c r="K25" s="809" t="s">
        <v>296</v>
      </c>
      <c r="L25" s="832" t="s">
        <v>305</v>
      </c>
      <c r="M25" s="810" t="s">
        <v>459</v>
      </c>
      <c r="N25" s="810"/>
      <c r="O25" s="883" t="s">
        <v>477</v>
      </c>
    </row>
    <row r="26" spans="1:15" ht="15.75" x14ac:dyDescent="0.25">
      <c r="A26" s="890"/>
      <c r="B26" s="769"/>
      <c r="C26" s="770"/>
      <c r="D26" s="770"/>
      <c r="E26" s="833"/>
      <c r="F26" s="833"/>
      <c r="G26" s="770"/>
      <c r="H26" s="770"/>
      <c r="I26" s="770"/>
      <c r="J26" s="768"/>
      <c r="K26" s="833"/>
      <c r="L26" s="770"/>
      <c r="M26" s="768"/>
      <c r="N26" s="769"/>
      <c r="O26" s="891"/>
    </row>
    <row r="27" spans="1:15" ht="15.75" x14ac:dyDescent="0.25">
      <c r="A27" s="881" t="s">
        <v>51</v>
      </c>
      <c r="B27" s="815"/>
      <c r="C27" s="815"/>
      <c r="D27" s="815"/>
      <c r="E27" s="815"/>
      <c r="F27" s="815"/>
      <c r="G27" s="815"/>
      <c r="H27" s="815"/>
      <c r="I27" s="815"/>
      <c r="J27" s="815"/>
      <c r="K27" s="815"/>
      <c r="L27" s="815"/>
      <c r="M27" s="815"/>
      <c r="N27" s="815"/>
      <c r="O27" s="882"/>
    </row>
    <row r="28" spans="1:15" ht="45" x14ac:dyDescent="0.25">
      <c r="A28" s="875" t="s">
        <v>437</v>
      </c>
      <c r="B28" s="769" t="s">
        <v>478</v>
      </c>
      <c r="C28" s="145" t="s">
        <v>479</v>
      </c>
      <c r="D28" s="834">
        <v>28154</v>
      </c>
      <c r="E28" s="145" t="s">
        <v>295</v>
      </c>
      <c r="F28" s="804" t="s">
        <v>456</v>
      </c>
      <c r="G28" s="805" t="s">
        <v>48</v>
      </c>
      <c r="H28" s="806" t="s">
        <v>480</v>
      </c>
      <c r="I28" s="145" t="s">
        <v>49</v>
      </c>
      <c r="J28" s="834">
        <v>45017</v>
      </c>
      <c r="K28" s="809" t="s">
        <v>296</v>
      </c>
      <c r="L28" s="832" t="s">
        <v>481</v>
      </c>
      <c r="M28" s="814" t="s">
        <v>459</v>
      </c>
      <c r="N28" s="334"/>
      <c r="O28" s="892" t="s">
        <v>482</v>
      </c>
    </row>
    <row r="29" spans="1:15" ht="60" x14ac:dyDescent="0.25">
      <c r="A29" s="875" t="s">
        <v>461</v>
      </c>
      <c r="B29" s="769" t="s">
        <v>483</v>
      </c>
      <c r="C29" s="145" t="s">
        <v>438</v>
      </c>
      <c r="D29" s="835">
        <v>32089</v>
      </c>
      <c r="E29" s="145" t="s">
        <v>295</v>
      </c>
      <c r="F29" s="804" t="s">
        <v>456</v>
      </c>
      <c r="G29" s="805" t="s">
        <v>54</v>
      </c>
      <c r="H29" s="806" t="s">
        <v>484</v>
      </c>
      <c r="I29" s="807" t="s">
        <v>40</v>
      </c>
      <c r="J29" s="771">
        <v>44470</v>
      </c>
      <c r="K29" s="809" t="s">
        <v>291</v>
      </c>
      <c r="L29" s="828" t="s">
        <v>441</v>
      </c>
      <c r="M29" s="810" t="s">
        <v>459</v>
      </c>
      <c r="N29" s="819"/>
      <c r="O29" s="892" t="s">
        <v>485</v>
      </c>
    </row>
    <row r="30" spans="1:15" ht="45" x14ac:dyDescent="0.25">
      <c r="A30" s="875" t="s">
        <v>486</v>
      </c>
      <c r="B30" s="769" t="s">
        <v>487</v>
      </c>
      <c r="C30" s="145" t="s">
        <v>438</v>
      </c>
      <c r="D30" s="835">
        <v>31874</v>
      </c>
      <c r="E30" s="145" t="s">
        <v>295</v>
      </c>
      <c r="F30" s="818" t="s">
        <v>468</v>
      </c>
      <c r="G30" s="805" t="s">
        <v>56</v>
      </c>
      <c r="H30" s="806" t="s">
        <v>488</v>
      </c>
      <c r="I30" s="807" t="s">
        <v>46</v>
      </c>
      <c r="J30" s="771">
        <v>44682</v>
      </c>
      <c r="K30" s="809" t="s">
        <v>296</v>
      </c>
      <c r="L30" s="832" t="s">
        <v>481</v>
      </c>
      <c r="M30" s="810" t="s">
        <v>459</v>
      </c>
      <c r="N30" s="810"/>
      <c r="O30" s="892" t="s">
        <v>489</v>
      </c>
    </row>
    <row r="31" spans="1:15" x14ac:dyDescent="0.25">
      <c r="A31" s="875" t="s">
        <v>490</v>
      </c>
      <c r="B31" s="769"/>
      <c r="C31" s="816"/>
      <c r="D31" s="835"/>
      <c r="E31" s="145"/>
      <c r="F31" s="804"/>
      <c r="G31" s="804"/>
      <c r="H31" s="806"/>
      <c r="I31" s="807"/>
      <c r="J31" s="884"/>
      <c r="K31" s="816"/>
      <c r="L31" s="828"/>
      <c r="M31" s="810"/>
      <c r="N31" s="810"/>
      <c r="O31" s="886"/>
    </row>
    <row r="32" spans="1:15" ht="15.75" x14ac:dyDescent="0.25">
      <c r="A32" s="890"/>
      <c r="B32" s="769"/>
      <c r="C32" s="770"/>
      <c r="D32" s="770"/>
      <c r="E32" s="833"/>
      <c r="F32" s="833"/>
      <c r="G32" s="770"/>
      <c r="H32" s="770"/>
      <c r="I32" s="770"/>
      <c r="J32" s="768"/>
      <c r="K32" s="833"/>
      <c r="L32" s="770"/>
      <c r="M32" s="768"/>
      <c r="N32" s="769"/>
      <c r="O32" s="891"/>
    </row>
    <row r="33" spans="1:15" ht="15.75" x14ac:dyDescent="0.25">
      <c r="A33" s="881" t="s">
        <v>491</v>
      </c>
      <c r="B33" s="815"/>
      <c r="C33" s="815"/>
      <c r="D33" s="815"/>
      <c r="E33" s="815"/>
      <c r="F33" s="815"/>
      <c r="G33" s="815"/>
      <c r="H33" s="815"/>
      <c r="I33" s="815"/>
      <c r="J33" s="815"/>
      <c r="K33" s="815"/>
      <c r="L33" s="815"/>
      <c r="M33" s="815"/>
      <c r="N33" s="815"/>
      <c r="O33" s="882"/>
    </row>
    <row r="34" spans="1:15" ht="60" x14ac:dyDescent="0.25">
      <c r="A34" s="875" t="s">
        <v>437</v>
      </c>
      <c r="B34" s="769" t="s">
        <v>492</v>
      </c>
      <c r="C34" s="145" t="s">
        <v>493</v>
      </c>
      <c r="D34" s="836" t="s">
        <v>494</v>
      </c>
      <c r="E34" s="145" t="s">
        <v>279</v>
      </c>
      <c r="F34" s="804" t="s">
        <v>456</v>
      </c>
      <c r="G34" s="805" t="s">
        <v>65</v>
      </c>
      <c r="H34" s="806" t="s">
        <v>495</v>
      </c>
      <c r="I34" s="832" t="s">
        <v>63</v>
      </c>
      <c r="J34" s="834">
        <v>45444</v>
      </c>
      <c r="K34" s="809" t="s">
        <v>296</v>
      </c>
      <c r="L34" s="145" t="s">
        <v>305</v>
      </c>
      <c r="M34" s="814" t="s">
        <v>459</v>
      </c>
      <c r="N34" s="334"/>
      <c r="O34" s="892" t="s">
        <v>496</v>
      </c>
    </row>
    <row r="35" spans="1:15" x14ac:dyDescent="0.25">
      <c r="A35" s="875" t="s">
        <v>461</v>
      </c>
      <c r="B35" s="769"/>
      <c r="C35" s="145"/>
      <c r="D35" s="834"/>
      <c r="E35" s="145"/>
      <c r="F35" s="837"/>
      <c r="G35" s="804"/>
      <c r="H35" s="806"/>
      <c r="I35" s="145"/>
      <c r="J35" s="834"/>
      <c r="K35" s="768"/>
      <c r="L35" s="145"/>
      <c r="M35" s="814"/>
      <c r="N35" s="334"/>
      <c r="O35" s="886"/>
    </row>
    <row r="36" spans="1:15" ht="15.75" x14ac:dyDescent="0.25">
      <c r="A36" s="875" t="s">
        <v>486</v>
      </c>
      <c r="B36" s="769"/>
      <c r="C36" s="145"/>
      <c r="D36" s="834"/>
      <c r="E36" s="145"/>
      <c r="F36" s="837"/>
      <c r="G36" s="804"/>
      <c r="H36" s="806"/>
      <c r="I36" s="838"/>
      <c r="J36" s="834"/>
      <c r="K36" s="768"/>
      <c r="L36" s="145"/>
      <c r="M36" s="814"/>
      <c r="N36" s="334"/>
      <c r="O36" s="886"/>
    </row>
    <row r="37" spans="1:15" ht="15.75" x14ac:dyDescent="0.25">
      <c r="A37" s="875" t="s">
        <v>490</v>
      </c>
      <c r="B37" s="769"/>
      <c r="C37" s="145"/>
      <c r="D37" s="808"/>
      <c r="E37" s="145"/>
      <c r="F37" s="837"/>
      <c r="G37" s="818"/>
      <c r="H37" s="806"/>
      <c r="I37" s="807"/>
      <c r="J37" s="893"/>
      <c r="K37" s="816"/>
      <c r="L37" s="828"/>
      <c r="M37" s="810"/>
      <c r="N37" s="810"/>
      <c r="O37" s="894"/>
    </row>
    <row r="38" spans="1:15" ht="15.75" x14ac:dyDescent="0.25">
      <c r="A38" s="875"/>
      <c r="B38" s="768"/>
      <c r="C38" s="804"/>
      <c r="D38" s="804"/>
      <c r="E38" s="804"/>
      <c r="F38" s="804"/>
      <c r="G38" s="804"/>
      <c r="H38" s="804"/>
      <c r="I38" s="813"/>
      <c r="J38" s="814"/>
      <c r="K38" s="813"/>
      <c r="L38" s="813"/>
      <c r="M38" s="814"/>
      <c r="N38" s="814"/>
      <c r="O38" s="880"/>
    </row>
    <row r="39" spans="1:15" ht="15.75" x14ac:dyDescent="0.25">
      <c r="A39" s="887" t="s">
        <v>497</v>
      </c>
      <c r="B39" s="831"/>
      <c r="C39" s="831"/>
      <c r="D39" s="831"/>
      <c r="E39" s="831"/>
      <c r="F39" s="831"/>
      <c r="G39" s="831"/>
      <c r="H39" s="831"/>
      <c r="I39" s="831"/>
      <c r="J39" s="831"/>
      <c r="K39" s="831"/>
      <c r="L39" s="831"/>
      <c r="M39" s="831"/>
      <c r="N39" s="831"/>
      <c r="O39" s="888"/>
    </row>
    <row r="40" spans="1:15" ht="45" x14ac:dyDescent="0.25">
      <c r="A40" s="875" t="s">
        <v>437</v>
      </c>
      <c r="B40" s="839" t="s">
        <v>498</v>
      </c>
      <c r="C40" s="816" t="s">
        <v>467</v>
      </c>
      <c r="D40" s="771">
        <v>29447</v>
      </c>
      <c r="E40" s="768" t="s">
        <v>295</v>
      </c>
      <c r="F40" s="804" t="s">
        <v>456</v>
      </c>
      <c r="G40" s="812" t="s">
        <v>71</v>
      </c>
      <c r="H40" s="812" t="s">
        <v>499</v>
      </c>
      <c r="I40" s="772" t="s">
        <v>40</v>
      </c>
      <c r="J40" s="771">
        <v>44470</v>
      </c>
      <c r="K40" s="809" t="s">
        <v>296</v>
      </c>
      <c r="L40" s="768" t="s">
        <v>500</v>
      </c>
      <c r="M40" s="768" t="s">
        <v>459</v>
      </c>
      <c r="N40" s="839"/>
      <c r="O40" s="895" t="s">
        <v>501</v>
      </c>
    </row>
    <row r="41" spans="1:15" ht="45" x14ac:dyDescent="0.25">
      <c r="A41" s="875" t="s">
        <v>461</v>
      </c>
      <c r="B41" s="335" t="s">
        <v>502</v>
      </c>
      <c r="C41" s="142" t="s">
        <v>438</v>
      </c>
      <c r="D41" s="840">
        <v>35679</v>
      </c>
      <c r="E41" s="142" t="s">
        <v>295</v>
      </c>
      <c r="F41" s="804" t="s">
        <v>456</v>
      </c>
      <c r="G41" s="805" t="s">
        <v>74</v>
      </c>
      <c r="H41" s="806" t="s">
        <v>503</v>
      </c>
      <c r="I41" s="337" t="s">
        <v>43</v>
      </c>
      <c r="J41" s="841">
        <v>44166</v>
      </c>
      <c r="K41" s="809" t="s">
        <v>296</v>
      </c>
      <c r="L41" s="142" t="s">
        <v>72</v>
      </c>
      <c r="M41" s="842" t="s">
        <v>459</v>
      </c>
      <c r="N41" s="842"/>
      <c r="O41" s="896" t="s">
        <v>471</v>
      </c>
    </row>
    <row r="42" spans="1:15" ht="15.75" x14ac:dyDescent="0.25">
      <c r="A42" s="875" t="s">
        <v>486</v>
      </c>
      <c r="B42" s="340"/>
      <c r="C42" s="145"/>
      <c r="D42" s="843"/>
      <c r="E42" s="772"/>
      <c r="F42" s="804"/>
      <c r="G42" s="828"/>
      <c r="H42" s="806"/>
      <c r="I42" s="828"/>
      <c r="J42" s="844"/>
      <c r="K42" s="768"/>
      <c r="L42" s="772"/>
      <c r="M42" s="814"/>
      <c r="N42" s="814"/>
      <c r="O42" s="897"/>
    </row>
    <row r="43" spans="1:15" ht="15.75" x14ac:dyDescent="0.25">
      <c r="A43" s="875"/>
      <c r="B43" s="768"/>
      <c r="C43" s="804"/>
      <c r="D43" s="804"/>
      <c r="E43" s="804"/>
      <c r="F43" s="804"/>
      <c r="G43" s="804"/>
      <c r="H43" s="804"/>
      <c r="I43" s="813"/>
      <c r="J43" s="814"/>
      <c r="K43" s="813"/>
      <c r="L43" s="813"/>
      <c r="M43" s="814"/>
      <c r="N43" s="814"/>
      <c r="O43" s="880"/>
    </row>
    <row r="44" spans="1:15" ht="15.75" x14ac:dyDescent="0.25">
      <c r="A44" s="887" t="s">
        <v>504</v>
      </c>
      <c r="B44" s="831"/>
      <c r="C44" s="831"/>
      <c r="D44" s="831"/>
      <c r="E44" s="831"/>
      <c r="F44" s="831"/>
      <c r="G44" s="831"/>
      <c r="H44" s="831"/>
      <c r="I44" s="831"/>
      <c r="J44" s="831"/>
      <c r="K44" s="831"/>
      <c r="L44" s="831"/>
      <c r="M44" s="831"/>
      <c r="N44" s="831"/>
      <c r="O44" s="888"/>
    </row>
    <row r="45" spans="1:15" ht="60" x14ac:dyDescent="0.25">
      <c r="A45" s="875" t="s">
        <v>437</v>
      </c>
      <c r="B45" s="340" t="s">
        <v>505</v>
      </c>
      <c r="C45" s="338" t="s">
        <v>506</v>
      </c>
      <c r="D45" s="845">
        <v>28068</v>
      </c>
      <c r="E45" s="338" t="s">
        <v>295</v>
      </c>
      <c r="F45" s="822" t="s">
        <v>456</v>
      </c>
      <c r="G45" s="846" t="s">
        <v>77</v>
      </c>
      <c r="H45" s="823" t="s">
        <v>507</v>
      </c>
      <c r="I45" s="341" t="s">
        <v>60</v>
      </c>
      <c r="J45" s="845">
        <v>45383</v>
      </c>
      <c r="K45" s="809" t="s">
        <v>296</v>
      </c>
      <c r="L45" s="338" t="s">
        <v>508</v>
      </c>
      <c r="M45" s="814" t="s">
        <v>459</v>
      </c>
      <c r="N45" s="814"/>
      <c r="O45" s="898" t="s">
        <v>509</v>
      </c>
    </row>
    <row r="46" spans="1:15" ht="60" x14ac:dyDescent="0.25">
      <c r="A46" s="875" t="s">
        <v>461</v>
      </c>
      <c r="B46" s="769" t="s">
        <v>510</v>
      </c>
      <c r="C46" s="768" t="s">
        <v>438</v>
      </c>
      <c r="D46" s="771">
        <v>25550</v>
      </c>
      <c r="E46" s="768" t="s">
        <v>295</v>
      </c>
      <c r="F46" s="770" t="s">
        <v>456</v>
      </c>
      <c r="G46" s="812" t="s">
        <v>80</v>
      </c>
      <c r="H46" s="812" t="s">
        <v>511</v>
      </c>
      <c r="I46" s="807" t="s">
        <v>30</v>
      </c>
      <c r="J46" s="771">
        <v>45017</v>
      </c>
      <c r="K46" s="809" t="s">
        <v>296</v>
      </c>
      <c r="L46" s="768" t="s">
        <v>512</v>
      </c>
      <c r="M46" s="769"/>
      <c r="N46" s="769"/>
      <c r="O46" s="899" t="s">
        <v>513</v>
      </c>
    </row>
    <row r="47" spans="1:15" ht="45" x14ac:dyDescent="0.25">
      <c r="A47" s="875" t="s">
        <v>486</v>
      </c>
      <c r="B47" s="336" t="s">
        <v>514</v>
      </c>
      <c r="C47" s="818" t="s">
        <v>438</v>
      </c>
      <c r="D47" s="841">
        <v>30740</v>
      </c>
      <c r="E47" s="142" t="s">
        <v>279</v>
      </c>
      <c r="F47" s="804" t="s">
        <v>468</v>
      </c>
      <c r="G47" s="848" t="s">
        <v>82</v>
      </c>
      <c r="H47" s="806" t="s">
        <v>515</v>
      </c>
      <c r="I47" s="807" t="s">
        <v>46</v>
      </c>
      <c r="J47" s="771">
        <v>44682</v>
      </c>
      <c r="K47" s="809" t="s">
        <v>296</v>
      </c>
      <c r="L47" s="142" t="s">
        <v>516</v>
      </c>
      <c r="M47" s="842" t="s">
        <v>459</v>
      </c>
      <c r="N47" s="842"/>
      <c r="O47" s="896" t="s">
        <v>517</v>
      </c>
    </row>
    <row r="48" spans="1:15" ht="15.75" x14ac:dyDescent="0.25">
      <c r="A48" s="875"/>
      <c r="B48" s="768"/>
      <c r="C48" s="804"/>
      <c r="D48" s="804"/>
      <c r="E48" s="804"/>
      <c r="F48" s="804"/>
      <c r="G48" s="804"/>
      <c r="H48" s="804"/>
      <c r="I48" s="813"/>
      <c r="J48" s="814"/>
      <c r="K48" s="813"/>
      <c r="L48" s="813"/>
      <c r="M48" s="814"/>
      <c r="N48" s="814"/>
      <c r="O48" s="880"/>
    </row>
    <row r="49" spans="1:15" ht="15.75" x14ac:dyDescent="0.25">
      <c r="A49" s="887" t="s">
        <v>59</v>
      </c>
      <c r="B49" s="831"/>
      <c r="C49" s="831"/>
      <c r="D49" s="831"/>
      <c r="E49" s="831"/>
      <c r="F49" s="831"/>
      <c r="G49" s="831"/>
      <c r="H49" s="831"/>
      <c r="I49" s="831"/>
      <c r="J49" s="831"/>
      <c r="K49" s="831"/>
      <c r="L49" s="831"/>
      <c r="M49" s="831"/>
      <c r="N49" s="831"/>
      <c r="O49" s="888"/>
    </row>
    <row r="50" spans="1:15" ht="45" x14ac:dyDescent="0.25">
      <c r="A50" s="875" t="s">
        <v>437</v>
      </c>
      <c r="B50" s="340" t="s">
        <v>518</v>
      </c>
      <c r="C50" s="145" t="s">
        <v>519</v>
      </c>
      <c r="D50" s="849" t="s">
        <v>520</v>
      </c>
      <c r="E50" s="145" t="s">
        <v>295</v>
      </c>
      <c r="F50" s="804" t="s">
        <v>456</v>
      </c>
      <c r="G50" s="339" t="s">
        <v>58</v>
      </c>
      <c r="H50" s="806" t="s">
        <v>521</v>
      </c>
      <c r="I50" s="807" t="s">
        <v>40</v>
      </c>
      <c r="J50" s="771">
        <v>44470</v>
      </c>
      <c r="K50" s="809" t="s">
        <v>291</v>
      </c>
      <c r="L50" s="832" t="s">
        <v>522</v>
      </c>
      <c r="M50" s="814" t="s">
        <v>459</v>
      </c>
      <c r="N50" s="814"/>
      <c r="O50" s="892" t="s">
        <v>474</v>
      </c>
    </row>
    <row r="51" spans="1:15" ht="60" x14ac:dyDescent="0.25">
      <c r="A51" s="875" t="s">
        <v>461</v>
      </c>
      <c r="B51" s="850" t="s">
        <v>523</v>
      </c>
      <c r="C51" s="818" t="s">
        <v>438</v>
      </c>
      <c r="D51" s="817">
        <v>28455</v>
      </c>
      <c r="E51" s="816" t="s">
        <v>295</v>
      </c>
      <c r="F51" s="804" t="s">
        <v>456</v>
      </c>
      <c r="G51" s="851" t="s">
        <v>62</v>
      </c>
      <c r="H51" s="806" t="s">
        <v>524</v>
      </c>
      <c r="I51" s="807" t="s">
        <v>30</v>
      </c>
      <c r="J51" s="852">
        <v>45566</v>
      </c>
      <c r="K51" s="809" t="s">
        <v>296</v>
      </c>
      <c r="L51" s="807" t="s">
        <v>525</v>
      </c>
      <c r="M51" s="810" t="s">
        <v>459</v>
      </c>
      <c r="N51" s="810"/>
      <c r="O51" s="883" t="s">
        <v>526</v>
      </c>
    </row>
    <row r="52" spans="1:15" ht="15.75" x14ac:dyDescent="0.25">
      <c r="A52" s="875"/>
      <c r="B52" s="768"/>
      <c r="C52" s="804"/>
      <c r="D52" s="804"/>
      <c r="E52" s="804"/>
      <c r="F52" s="804"/>
      <c r="G52" s="804"/>
      <c r="H52" s="804"/>
      <c r="I52" s="813"/>
      <c r="J52" s="814"/>
      <c r="K52" s="813"/>
      <c r="L52" s="813"/>
      <c r="M52" s="814"/>
      <c r="N52" s="814"/>
      <c r="O52" s="880"/>
    </row>
    <row r="53" spans="1:15" ht="15.75" x14ac:dyDescent="0.25">
      <c r="A53" s="887" t="s">
        <v>527</v>
      </c>
      <c r="B53" s="831"/>
      <c r="C53" s="831"/>
      <c r="D53" s="831"/>
      <c r="E53" s="831"/>
      <c r="F53" s="831"/>
      <c r="G53" s="831"/>
      <c r="H53" s="831"/>
      <c r="I53" s="831"/>
      <c r="J53" s="831"/>
      <c r="K53" s="831"/>
      <c r="L53" s="831"/>
      <c r="M53" s="831"/>
      <c r="N53" s="831"/>
      <c r="O53" s="888"/>
    </row>
    <row r="54" spans="1:15" ht="60" x14ac:dyDescent="0.25">
      <c r="A54" s="875" t="s">
        <v>437</v>
      </c>
      <c r="B54" s="340" t="s">
        <v>528</v>
      </c>
      <c r="C54" s="145" t="s">
        <v>519</v>
      </c>
      <c r="D54" s="834">
        <v>25007</v>
      </c>
      <c r="E54" s="145" t="s">
        <v>295</v>
      </c>
      <c r="F54" s="804" t="s">
        <v>456</v>
      </c>
      <c r="G54" s="848" t="s">
        <v>93</v>
      </c>
      <c r="H54" s="806" t="s">
        <v>529</v>
      </c>
      <c r="I54" s="832" t="s">
        <v>63</v>
      </c>
      <c r="J54" s="834">
        <v>45627</v>
      </c>
      <c r="K54" s="809" t="s">
        <v>291</v>
      </c>
      <c r="L54" s="832" t="s">
        <v>522</v>
      </c>
      <c r="M54" s="814" t="s">
        <v>459</v>
      </c>
      <c r="N54" s="814"/>
      <c r="O54" s="892" t="s">
        <v>530</v>
      </c>
    </row>
    <row r="55" spans="1:15" ht="15.75" x14ac:dyDescent="0.25">
      <c r="A55" s="875"/>
      <c r="B55" s="768"/>
      <c r="C55" s="804"/>
      <c r="D55" s="804"/>
      <c r="E55" s="804"/>
      <c r="F55" s="804"/>
      <c r="G55" s="804"/>
      <c r="H55" s="804"/>
      <c r="I55" s="813"/>
      <c r="J55" s="814"/>
      <c r="K55" s="813"/>
      <c r="L55" s="813"/>
      <c r="M55" s="814"/>
      <c r="N55" s="814"/>
      <c r="O55" s="880"/>
    </row>
    <row r="56" spans="1:15" ht="15.75" x14ac:dyDescent="0.25">
      <c r="A56" s="881" t="s">
        <v>531</v>
      </c>
      <c r="B56" s="815"/>
      <c r="C56" s="815"/>
      <c r="D56" s="815"/>
      <c r="E56" s="815"/>
      <c r="F56" s="815"/>
      <c r="G56" s="815"/>
      <c r="H56" s="815"/>
      <c r="I56" s="815"/>
      <c r="J56" s="815"/>
      <c r="K56" s="815"/>
      <c r="L56" s="815"/>
      <c r="M56" s="815"/>
      <c r="N56" s="815"/>
      <c r="O56" s="882"/>
    </row>
    <row r="57" spans="1:15" ht="30" x14ac:dyDescent="0.25">
      <c r="A57" s="875" t="s">
        <v>437</v>
      </c>
      <c r="B57" s="340" t="s">
        <v>532</v>
      </c>
      <c r="C57" s="145" t="s">
        <v>438</v>
      </c>
      <c r="D57" s="834">
        <v>31893</v>
      </c>
      <c r="E57" s="145" t="s">
        <v>295</v>
      </c>
      <c r="F57" s="804" t="s">
        <v>468</v>
      </c>
      <c r="G57" s="853" t="s">
        <v>88</v>
      </c>
      <c r="H57" s="806" t="s">
        <v>533</v>
      </c>
      <c r="I57" s="807" t="s">
        <v>46</v>
      </c>
      <c r="J57" s="771">
        <v>44682</v>
      </c>
      <c r="K57" s="809" t="s">
        <v>296</v>
      </c>
      <c r="L57" s="828" t="s">
        <v>534</v>
      </c>
      <c r="M57" s="814" t="s">
        <v>459</v>
      </c>
      <c r="N57" s="814"/>
      <c r="O57" s="892" t="s">
        <v>535</v>
      </c>
    </row>
    <row r="58" spans="1:15" ht="15.75" x14ac:dyDescent="0.25">
      <c r="A58" s="875" t="s">
        <v>461</v>
      </c>
      <c r="B58" s="340"/>
      <c r="C58" s="145"/>
      <c r="D58" s="817"/>
      <c r="E58" s="818"/>
      <c r="F58" s="818"/>
      <c r="G58" s="142"/>
      <c r="H58" s="806"/>
      <c r="I58" s="807"/>
      <c r="J58" s="884"/>
      <c r="K58" s="768"/>
      <c r="L58" s="807"/>
      <c r="M58" s="810"/>
      <c r="N58" s="810"/>
      <c r="O58" s="894"/>
    </row>
    <row r="59" spans="1:15" ht="15.75" x14ac:dyDescent="0.25">
      <c r="A59" s="875"/>
      <c r="B59" s="768"/>
      <c r="C59" s="770"/>
      <c r="D59" s="770"/>
      <c r="E59" s="770"/>
      <c r="F59" s="770"/>
      <c r="G59" s="770"/>
      <c r="H59" s="770"/>
      <c r="I59" s="770"/>
      <c r="J59" s="768"/>
      <c r="K59" s="770"/>
      <c r="L59" s="770"/>
      <c r="M59" s="768"/>
      <c r="N59" s="768"/>
      <c r="O59" s="900"/>
    </row>
    <row r="60" spans="1:15" ht="15.75" x14ac:dyDescent="0.25">
      <c r="A60" s="887" t="s">
        <v>536</v>
      </c>
      <c r="B60" s="831"/>
      <c r="C60" s="831"/>
      <c r="D60" s="831"/>
      <c r="E60" s="831"/>
      <c r="F60" s="831"/>
      <c r="G60" s="831"/>
      <c r="H60" s="831"/>
      <c r="I60" s="831"/>
      <c r="J60" s="831"/>
      <c r="K60" s="831"/>
      <c r="L60" s="831"/>
      <c r="M60" s="831"/>
      <c r="N60" s="831"/>
      <c r="O60" s="888"/>
    </row>
    <row r="61" spans="1:15" x14ac:dyDescent="0.25">
      <c r="A61" s="875" t="s">
        <v>437</v>
      </c>
      <c r="B61" s="338" t="s">
        <v>34</v>
      </c>
      <c r="C61" s="816"/>
      <c r="D61" s="835"/>
      <c r="E61" s="818"/>
      <c r="F61" s="818"/>
      <c r="G61" s="854"/>
      <c r="H61" s="806"/>
      <c r="I61" s="807"/>
      <c r="J61" s="884"/>
      <c r="K61" s="816"/>
      <c r="L61" s="828"/>
      <c r="M61" s="810"/>
      <c r="N61" s="810"/>
      <c r="O61" s="886"/>
    </row>
    <row r="62" spans="1:15" ht="15.75" x14ac:dyDescent="0.25">
      <c r="A62" s="875"/>
      <c r="B62" s="768"/>
      <c r="C62" s="804"/>
      <c r="D62" s="804"/>
      <c r="E62" s="804"/>
      <c r="F62" s="804"/>
      <c r="G62" s="804"/>
      <c r="H62" s="804"/>
      <c r="I62" s="813"/>
      <c r="J62" s="814"/>
      <c r="K62" s="813"/>
      <c r="L62" s="813"/>
      <c r="M62" s="814"/>
      <c r="N62" s="814"/>
      <c r="O62" s="880"/>
    </row>
    <row r="63" spans="1:15" ht="15.75" x14ac:dyDescent="0.25">
      <c r="A63" s="887" t="s">
        <v>537</v>
      </c>
      <c r="B63" s="831"/>
      <c r="C63" s="831"/>
      <c r="D63" s="831"/>
      <c r="E63" s="831"/>
      <c r="F63" s="831"/>
      <c r="G63" s="831"/>
      <c r="H63" s="831"/>
      <c r="I63" s="831"/>
      <c r="J63" s="831"/>
      <c r="K63" s="831"/>
      <c r="L63" s="831"/>
      <c r="M63" s="831"/>
      <c r="N63" s="831"/>
      <c r="O63" s="888"/>
    </row>
    <row r="64" spans="1:15" ht="15.75" x14ac:dyDescent="0.25">
      <c r="A64" s="875" t="s">
        <v>437</v>
      </c>
      <c r="B64" s="768" t="s">
        <v>34</v>
      </c>
      <c r="C64" s="804"/>
      <c r="D64" s="804"/>
      <c r="E64" s="804"/>
      <c r="F64" s="804"/>
      <c r="G64" s="804"/>
      <c r="H64" s="804"/>
      <c r="I64" s="813"/>
      <c r="J64" s="814"/>
      <c r="K64" s="813"/>
      <c r="L64" s="813"/>
      <c r="M64" s="814"/>
      <c r="N64" s="814"/>
      <c r="O64" s="880"/>
    </row>
    <row r="65" spans="1:15" ht="15.75" x14ac:dyDescent="0.25">
      <c r="A65" s="887" t="s">
        <v>85</v>
      </c>
      <c r="B65" s="831"/>
      <c r="C65" s="831"/>
      <c r="D65" s="831"/>
      <c r="E65" s="831"/>
      <c r="F65" s="831"/>
      <c r="G65" s="831"/>
      <c r="H65" s="831"/>
      <c r="I65" s="831"/>
      <c r="J65" s="831"/>
      <c r="K65" s="831"/>
      <c r="L65" s="831"/>
      <c r="M65" s="831"/>
      <c r="N65" s="831"/>
      <c r="O65" s="888"/>
    </row>
    <row r="66" spans="1:15" ht="45" x14ac:dyDescent="0.25">
      <c r="A66" s="875" t="s">
        <v>437</v>
      </c>
      <c r="B66" s="847" t="s">
        <v>538</v>
      </c>
      <c r="C66" s="145" t="s">
        <v>438</v>
      </c>
      <c r="D66" s="834">
        <v>27687</v>
      </c>
      <c r="E66" s="145" t="s">
        <v>279</v>
      </c>
      <c r="F66" s="804" t="s">
        <v>456</v>
      </c>
      <c r="G66" s="853" t="s">
        <v>84</v>
      </c>
      <c r="H66" s="806" t="s">
        <v>539</v>
      </c>
      <c r="I66" s="807" t="s">
        <v>40</v>
      </c>
      <c r="J66" s="834">
        <v>44652</v>
      </c>
      <c r="K66" s="809" t="s">
        <v>296</v>
      </c>
      <c r="L66" s="832" t="s">
        <v>540</v>
      </c>
      <c r="M66" s="814" t="s">
        <v>459</v>
      </c>
      <c r="N66" s="814"/>
      <c r="O66" s="892" t="s">
        <v>541</v>
      </c>
    </row>
    <row r="67" spans="1:15" ht="15.75" x14ac:dyDescent="0.25">
      <c r="A67" s="875"/>
      <c r="B67" s="768"/>
      <c r="C67" s="804"/>
      <c r="D67" s="804"/>
      <c r="E67" s="804"/>
      <c r="F67" s="804"/>
      <c r="G67" s="804"/>
      <c r="H67" s="804"/>
      <c r="I67" s="813"/>
      <c r="J67" s="814"/>
      <c r="K67" s="813"/>
      <c r="L67" s="813"/>
      <c r="M67" s="814"/>
      <c r="N67" s="814"/>
      <c r="O67" s="880"/>
    </row>
    <row r="68" spans="1:15" ht="15.75" x14ac:dyDescent="0.25">
      <c r="A68" s="901" t="s">
        <v>542</v>
      </c>
      <c r="B68" s="855"/>
      <c r="C68" s="856"/>
      <c r="D68" s="856"/>
      <c r="E68" s="855"/>
      <c r="F68" s="855"/>
      <c r="G68" s="856"/>
      <c r="H68" s="856"/>
      <c r="I68" s="856"/>
      <c r="J68" s="856"/>
      <c r="K68" s="855"/>
      <c r="L68" s="856"/>
      <c r="M68" s="856"/>
      <c r="N68" s="855"/>
      <c r="O68" s="902"/>
    </row>
    <row r="69" spans="1:15" ht="16.5" thickBot="1" x14ac:dyDescent="0.3">
      <c r="A69" s="787"/>
      <c r="B69" s="903"/>
      <c r="C69" s="788"/>
      <c r="D69" s="788"/>
      <c r="E69" s="788"/>
      <c r="F69" s="788"/>
      <c r="G69" s="788"/>
      <c r="H69" s="788"/>
      <c r="I69" s="788"/>
      <c r="J69" s="903"/>
      <c r="K69" s="788"/>
      <c r="L69" s="788"/>
      <c r="M69" s="903"/>
      <c r="N69" s="903"/>
      <c r="O69" s="904"/>
    </row>
    <row r="70" spans="1:15" ht="15.75" x14ac:dyDescent="0.25">
      <c r="A70" s="870"/>
      <c r="B70" s="870"/>
      <c r="C70" s="871"/>
      <c r="D70" s="871"/>
      <c r="E70" s="870"/>
      <c r="F70" s="870"/>
      <c r="G70" s="871"/>
      <c r="H70" s="871"/>
      <c r="I70" s="871"/>
      <c r="J70" s="871"/>
      <c r="K70" s="870"/>
      <c r="L70" s="871"/>
      <c r="M70" s="871"/>
      <c r="N70" s="870"/>
      <c r="O70" s="872"/>
    </row>
    <row r="71" spans="1:15" ht="15.75" x14ac:dyDescent="0.25">
      <c r="A71" s="773"/>
      <c r="B71" s="773"/>
      <c r="C71" s="857"/>
      <c r="D71" s="857"/>
      <c r="E71" s="773"/>
      <c r="F71" s="773"/>
      <c r="G71" s="857"/>
      <c r="H71" s="857"/>
      <c r="I71" s="857"/>
      <c r="J71" s="858"/>
      <c r="K71" s="859"/>
      <c r="L71" s="775" t="str">
        <f>'Kepala Sekolah'!K12</f>
        <v>Demak, Agustus 2025</v>
      </c>
      <c r="M71" s="775"/>
      <c r="N71" s="775"/>
      <c r="O71" s="775"/>
    </row>
    <row r="72" spans="1:15" ht="15.75" x14ac:dyDescent="0.25">
      <c r="A72" s="773"/>
      <c r="B72" s="773"/>
      <c r="C72" s="857"/>
      <c r="D72" s="857"/>
      <c r="E72" s="773"/>
      <c r="F72" s="773"/>
      <c r="G72" s="857"/>
      <c r="H72" s="857"/>
      <c r="I72" s="857"/>
      <c r="J72" s="858"/>
      <c r="K72" s="859"/>
      <c r="L72" s="775" t="str">
        <f>'[1]Kepala Sekolah'!K13</f>
        <v>Kepala SMP Negeri 2 Karangtengah</v>
      </c>
      <c r="M72" s="775"/>
      <c r="N72" s="775"/>
      <c r="O72" s="775"/>
    </row>
    <row r="73" spans="1:15" ht="15.75" x14ac:dyDescent="0.25">
      <c r="A73" s="773"/>
      <c r="B73" s="773"/>
      <c r="C73" s="857"/>
      <c r="D73" s="857"/>
      <c r="E73" s="773"/>
      <c r="F73" s="773"/>
      <c r="G73" s="857"/>
      <c r="H73" s="857"/>
      <c r="I73" s="857"/>
      <c r="J73" s="858"/>
      <c r="K73" s="859"/>
      <c r="L73" s="775" t="str">
        <f>'[1]Kepala Sekolah'!K14</f>
        <v>Kabupaten Demak</v>
      </c>
      <c r="M73" s="775"/>
      <c r="N73" s="775"/>
      <c r="O73" s="775"/>
    </row>
    <row r="74" spans="1:15" ht="15.75" x14ac:dyDescent="0.25">
      <c r="A74" s="773"/>
      <c r="B74" s="773"/>
      <c r="C74" s="857"/>
      <c r="D74" s="857"/>
      <c r="E74" s="773"/>
      <c r="F74" s="773"/>
      <c r="G74" s="857"/>
      <c r="H74" s="857"/>
      <c r="I74" s="857"/>
      <c r="J74" s="858"/>
      <c r="K74" s="773"/>
      <c r="L74" s="773"/>
      <c r="M74" s="858"/>
      <c r="N74" s="773"/>
      <c r="O74" s="860"/>
    </row>
    <row r="75" spans="1:15" ht="15.75" x14ac:dyDescent="0.25">
      <c r="A75" s="773"/>
      <c r="B75" s="773"/>
      <c r="C75" s="857"/>
      <c r="D75" s="857"/>
      <c r="E75" s="773"/>
      <c r="F75" s="773"/>
      <c r="G75" s="857"/>
      <c r="H75" s="857"/>
      <c r="I75" s="857"/>
      <c r="J75" s="858"/>
      <c r="K75" s="773"/>
      <c r="L75" s="773"/>
      <c r="M75" s="858"/>
      <c r="N75" s="773"/>
      <c r="O75" s="860"/>
    </row>
    <row r="76" spans="1:15" ht="15.75" x14ac:dyDescent="0.25">
      <c r="A76" s="773"/>
      <c r="B76" s="773"/>
      <c r="C76" s="857"/>
      <c r="D76" s="857"/>
      <c r="E76" s="773"/>
      <c r="F76" s="773"/>
      <c r="G76" s="857"/>
      <c r="H76" s="857"/>
      <c r="I76" s="857"/>
      <c r="J76" s="858"/>
      <c r="K76" s="861"/>
      <c r="L76" s="351" t="str">
        <f>'[1]Kepala Sekolah'!K17</f>
        <v>PRIYANTONO, S.Pd., M.Pd.</v>
      </c>
      <c r="M76" s="351"/>
      <c r="N76" s="351"/>
      <c r="O76" s="351"/>
    </row>
    <row r="77" spans="1:15" ht="15.75" x14ac:dyDescent="0.25">
      <c r="A77" s="860"/>
      <c r="B77" s="860"/>
      <c r="C77" s="862"/>
      <c r="D77" s="862"/>
      <c r="E77" s="860"/>
      <c r="F77" s="860"/>
      <c r="G77" s="862"/>
      <c r="H77" s="862"/>
      <c r="I77" s="862"/>
      <c r="J77" s="858"/>
      <c r="K77" s="859"/>
      <c r="L77" s="775" t="str">
        <f>'[1]Kepala Sekolah'!K18</f>
        <v>NIP. 196902251994031005</v>
      </c>
      <c r="M77" s="775"/>
      <c r="N77" s="775"/>
      <c r="O77" s="775"/>
    </row>
  </sheetData>
  <mergeCells count="35">
    <mergeCell ref="A13:O13"/>
    <mergeCell ref="A2:O2"/>
    <mergeCell ref="A3:O3"/>
    <mergeCell ref="A4:O4"/>
    <mergeCell ref="A6:A7"/>
    <mergeCell ref="C6:C7"/>
    <mergeCell ref="D6:D7"/>
    <mergeCell ref="E6:E7"/>
    <mergeCell ref="G6:G7"/>
    <mergeCell ref="H6:H7"/>
    <mergeCell ref="I6:J6"/>
    <mergeCell ref="K6:L6"/>
    <mergeCell ref="M6:N6"/>
    <mergeCell ref="O6:O7"/>
    <mergeCell ref="A8:O8"/>
    <mergeCell ref="A11:O11"/>
    <mergeCell ref="A60:O60"/>
    <mergeCell ref="A15:O15"/>
    <mergeCell ref="A17:O17"/>
    <mergeCell ref="A19:O19"/>
    <mergeCell ref="A23:O23"/>
    <mergeCell ref="A27:O27"/>
    <mergeCell ref="A33:O33"/>
    <mergeCell ref="A39:O39"/>
    <mergeCell ref="A44:O44"/>
    <mergeCell ref="A49:O49"/>
    <mergeCell ref="A53:O53"/>
    <mergeCell ref="A56:O56"/>
    <mergeCell ref="L77:O77"/>
    <mergeCell ref="A63:O63"/>
    <mergeCell ref="A65:O65"/>
    <mergeCell ref="L71:O71"/>
    <mergeCell ref="L72:O72"/>
    <mergeCell ref="L73:O73"/>
    <mergeCell ref="L76:O76"/>
  </mergeCells>
  <printOptions horizontalCentered="1"/>
  <pageMargins left="3.937007874015748E-2" right="3.937007874015748E-2" top="3.937007874015748E-2" bottom="3.937007874015748E-2" header="3.937007874015748E-2" footer="3.937007874015748E-2"/>
  <pageSetup paperSize="20000" scale="47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D80FD-E6F5-4BF6-93F2-492D22CCBE21}">
  <dimension ref="A1:L19"/>
  <sheetViews>
    <sheetView tabSelected="1" view="pageBreakPreview" zoomScale="60" zoomScaleNormal="100" workbookViewId="0">
      <selection activeCell="A11" sqref="A11:XFD11"/>
    </sheetView>
  </sheetViews>
  <sheetFormatPr defaultRowHeight="15" x14ac:dyDescent="0.25"/>
  <cols>
    <col min="1" max="1" width="4.42578125" bestFit="1" customWidth="1"/>
    <col min="2" max="2" width="18.85546875" bestFit="1" customWidth="1"/>
    <col min="3" max="3" width="11.42578125" bestFit="1" customWidth="1"/>
    <col min="4" max="4" width="26.28515625" bestFit="1" customWidth="1"/>
    <col min="5" max="5" width="22.5703125" bestFit="1" customWidth="1"/>
    <col min="6" max="6" width="20.140625" customWidth="1"/>
    <col min="7" max="7" width="9.7109375" bestFit="1" customWidth="1"/>
    <col min="8" max="8" width="7.7109375" bestFit="1" customWidth="1"/>
    <col min="9" max="9" width="7.140625" bestFit="1" customWidth="1"/>
    <col min="10" max="10" width="18.28515625" bestFit="1" customWidth="1"/>
    <col min="11" max="11" width="19.140625" bestFit="1" customWidth="1"/>
    <col min="12" max="12" width="19.28515625" bestFit="1" customWidth="1"/>
  </cols>
  <sheetData>
    <row r="1" spans="1:12" x14ac:dyDescent="0.25">
      <c r="K1" s="370" t="s">
        <v>543</v>
      </c>
      <c r="L1" s="370"/>
    </row>
    <row r="2" spans="1:12" ht="18" x14ac:dyDescent="0.25">
      <c r="A2" s="350" t="s">
        <v>544</v>
      </c>
      <c r="B2" s="350"/>
      <c r="C2" s="350"/>
      <c r="D2" s="350"/>
      <c r="E2" s="350"/>
      <c r="F2" s="350"/>
      <c r="G2" s="350"/>
      <c r="H2" s="350"/>
      <c r="I2" s="350"/>
      <c r="J2" s="350"/>
      <c r="K2" s="350"/>
      <c r="L2" s="350"/>
    </row>
    <row r="3" spans="1:12" ht="15.75" x14ac:dyDescent="0.25">
      <c r="A3" s="351" t="str">
        <f>'[1]Kepala Sekolah'!A3</f>
        <v>UNIT KERJA : SMP NEGERI 2 KARANGTENGAH</v>
      </c>
      <c r="B3" s="351"/>
      <c r="C3" s="351"/>
      <c r="D3" s="351"/>
      <c r="E3" s="351"/>
      <c r="F3" s="351"/>
      <c r="G3" s="351"/>
      <c r="H3" s="351"/>
      <c r="I3" s="351"/>
      <c r="J3" s="351"/>
      <c r="K3" s="351"/>
      <c r="L3" s="351"/>
    </row>
    <row r="4" spans="1:12" ht="15.75" x14ac:dyDescent="0.25">
      <c r="A4" s="351" t="str">
        <f>'Kepala Sekolah'!A4</f>
        <v>PER : 1 Agustus 2025</v>
      </c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</row>
    <row r="5" spans="1:12" ht="15.75" x14ac:dyDescent="0.25">
      <c r="A5" s="218"/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</row>
    <row r="6" spans="1:12" ht="15.75" thickBot="1" x14ac:dyDescent="0.3">
      <c r="A6" s="219"/>
      <c r="B6" s="219"/>
      <c r="C6" s="219"/>
      <c r="D6" s="219"/>
      <c r="E6" s="219"/>
      <c r="F6" s="219"/>
      <c r="G6" s="219"/>
      <c r="H6" s="219"/>
      <c r="I6" s="219"/>
      <c r="J6" s="219"/>
      <c r="K6" s="219"/>
      <c r="L6" s="219"/>
    </row>
    <row r="7" spans="1:12" ht="35.25" customHeight="1" x14ac:dyDescent="0.25">
      <c r="A7" s="776" t="s">
        <v>8</v>
      </c>
      <c r="B7" s="777" t="s">
        <v>424</v>
      </c>
      <c r="C7" s="778" t="s">
        <v>425</v>
      </c>
      <c r="D7" s="778" t="s">
        <v>426</v>
      </c>
      <c r="E7" s="778" t="s">
        <v>546</v>
      </c>
      <c r="F7" s="778" t="s">
        <v>547</v>
      </c>
      <c r="G7" s="779" t="s">
        <v>427</v>
      </c>
      <c r="H7" s="780"/>
      <c r="I7" s="781" t="s">
        <v>428</v>
      </c>
      <c r="J7" s="781"/>
      <c r="K7" s="778" t="s">
        <v>545</v>
      </c>
      <c r="L7" s="782" t="s">
        <v>430</v>
      </c>
    </row>
    <row r="8" spans="1:12" x14ac:dyDescent="0.25">
      <c r="A8" s="783"/>
      <c r="B8" s="764"/>
      <c r="C8" s="765"/>
      <c r="D8" s="765"/>
      <c r="E8" s="765"/>
      <c r="F8" s="765"/>
      <c r="G8" s="763" t="s">
        <v>431</v>
      </c>
      <c r="H8" s="762" t="s">
        <v>600</v>
      </c>
      <c r="I8" s="763" t="s">
        <v>433</v>
      </c>
      <c r="J8" s="763" t="s">
        <v>601</v>
      </c>
      <c r="K8" s="765"/>
      <c r="L8" s="784"/>
    </row>
    <row r="9" spans="1:12" x14ac:dyDescent="0.25">
      <c r="A9" s="785"/>
      <c r="B9" s="766"/>
      <c r="C9" s="767"/>
      <c r="D9" s="767"/>
      <c r="E9" s="767"/>
      <c r="F9" s="767"/>
      <c r="G9" s="767"/>
      <c r="H9" s="766"/>
      <c r="I9" s="767"/>
      <c r="J9" s="767"/>
      <c r="K9" s="767"/>
      <c r="L9" s="786"/>
    </row>
    <row r="10" spans="1:12" x14ac:dyDescent="0.25">
      <c r="A10" s="905">
        <v>1</v>
      </c>
      <c r="B10" s="906"/>
      <c r="C10" s="826"/>
      <c r="D10" s="907"/>
      <c r="E10" s="908"/>
      <c r="F10" s="909"/>
      <c r="G10" s="910"/>
      <c r="H10" s="907"/>
      <c r="I10" s="813"/>
      <c r="J10" s="813"/>
      <c r="K10" s="807"/>
      <c r="L10" s="911"/>
    </row>
    <row r="11" spans="1:12" ht="15.75" thickBot="1" x14ac:dyDescent="0.3">
      <c r="A11" s="912">
        <v>2</v>
      </c>
      <c r="B11" s="913"/>
      <c r="C11" s="914"/>
      <c r="D11" s="915"/>
      <c r="E11" s="916"/>
      <c r="F11" s="917"/>
      <c r="G11" s="918"/>
      <c r="H11" s="915"/>
      <c r="I11" s="919"/>
      <c r="J11" s="919"/>
      <c r="K11" s="920"/>
      <c r="L11" s="921"/>
    </row>
    <row r="12" spans="1:12" x14ac:dyDescent="0.25">
      <c r="A12" s="219"/>
      <c r="B12" s="219"/>
      <c r="C12" s="219"/>
      <c r="D12" s="219"/>
      <c r="E12" s="219"/>
      <c r="F12" s="219"/>
      <c r="G12" s="219"/>
      <c r="H12" s="219"/>
      <c r="I12" s="219"/>
      <c r="J12" s="219"/>
      <c r="K12" s="219"/>
      <c r="L12" s="219"/>
    </row>
    <row r="13" spans="1:12" x14ac:dyDescent="0.25">
      <c r="A13" s="219"/>
      <c r="B13" s="219"/>
      <c r="C13" s="219"/>
      <c r="D13" s="219"/>
      <c r="E13" s="219"/>
      <c r="F13" s="219"/>
      <c r="G13" s="219"/>
      <c r="H13" s="219"/>
      <c r="I13" s="219"/>
      <c r="J13" s="775" t="str">
        <f>'Kepala Sekolah'!K12</f>
        <v>Demak, Agustus 2025</v>
      </c>
      <c r="K13" s="775"/>
      <c r="L13" s="775"/>
    </row>
    <row r="14" spans="1:12" x14ac:dyDescent="0.25">
      <c r="A14" s="219"/>
      <c r="B14" s="219"/>
      <c r="C14" s="219"/>
      <c r="D14" s="219"/>
      <c r="E14" s="219"/>
      <c r="F14" s="219"/>
      <c r="G14" s="219"/>
      <c r="H14" s="219"/>
      <c r="I14" s="219"/>
      <c r="J14" s="775" t="str">
        <f>'[1]Kepala Sekolah'!K13</f>
        <v>Kepala SMP Negeri 2 Karangtengah</v>
      </c>
      <c r="K14" s="775"/>
      <c r="L14" s="775"/>
    </row>
    <row r="15" spans="1:12" x14ac:dyDescent="0.25">
      <c r="A15" s="219"/>
      <c r="B15" s="219"/>
      <c r="C15" s="219"/>
      <c r="D15" s="219"/>
      <c r="E15" s="219"/>
      <c r="F15" s="219"/>
      <c r="G15" s="219"/>
      <c r="H15" s="219"/>
      <c r="I15" s="219"/>
      <c r="J15" s="775" t="str">
        <f>'[1]Kepala Sekolah'!K14</f>
        <v>Kabupaten Demak</v>
      </c>
      <c r="K15" s="775"/>
      <c r="L15" s="775"/>
    </row>
    <row r="16" spans="1:12" x14ac:dyDescent="0.25">
      <c r="A16" s="219"/>
      <c r="B16" s="219"/>
      <c r="C16" s="219"/>
      <c r="D16" s="219"/>
      <c r="E16" s="219"/>
      <c r="F16" s="219"/>
      <c r="G16" s="219"/>
      <c r="H16" s="219"/>
      <c r="I16" s="219"/>
      <c r="J16" s="773"/>
      <c r="K16" s="773"/>
      <c r="L16" s="773"/>
    </row>
    <row r="17" spans="1:12" x14ac:dyDescent="0.25">
      <c r="A17" s="219"/>
      <c r="B17" s="219"/>
      <c r="C17" s="219"/>
      <c r="D17" s="219"/>
      <c r="E17" s="219"/>
      <c r="F17" s="219"/>
      <c r="G17" s="219"/>
      <c r="H17" s="219"/>
      <c r="I17" s="219"/>
      <c r="J17" s="773"/>
      <c r="K17" s="773"/>
      <c r="L17" s="773"/>
    </row>
    <row r="18" spans="1:12" ht="15.75" x14ac:dyDescent="0.25">
      <c r="A18" s="219"/>
      <c r="B18" s="219"/>
      <c r="C18" s="219"/>
      <c r="D18" s="219"/>
      <c r="E18" s="219"/>
      <c r="F18" s="219"/>
      <c r="G18" s="219"/>
      <c r="H18" s="219"/>
      <c r="I18" s="219"/>
      <c r="J18" s="351" t="str">
        <f>'[1]Kepala Sekolah'!K17</f>
        <v>PRIYANTONO, S.Pd., M.Pd.</v>
      </c>
      <c r="K18" s="351"/>
      <c r="L18" s="351"/>
    </row>
    <row r="19" spans="1:12" x14ac:dyDescent="0.25">
      <c r="A19" s="219"/>
      <c r="B19" s="219"/>
      <c r="C19" s="219"/>
      <c r="D19" s="219"/>
      <c r="E19" s="219"/>
      <c r="F19" s="219"/>
      <c r="G19" s="219"/>
      <c r="H19" s="219"/>
      <c r="I19" s="219"/>
      <c r="J19" s="775" t="str">
        <f>'[1]Kepala Sekolah'!K18</f>
        <v>NIP. 196902251994031005</v>
      </c>
      <c r="K19" s="775"/>
      <c r="L19" s="775"/>
    </row>
  </sheetData>
  <mergeCells count="23">
    <mergeCell ref="K1:L1"/>
    <mergeCell ref="A2:L2"/>
    <mergeCell ref="A3:L3"/>
    <mergeCell ref="A4:L4"/>
    <mergeCell ref="A7:A9"/>
    <mergeCell ref="B7:B9"/>
    <mergeCell ref="C7:C9"/>
    <mergeCell ref="D7:D9"/>
    <mergeCell ref="E7:E9"/>
    <mergeCell ref="F7:F9"/>
    <mergeCell ref="G7:H7"/>
    <mergeCell ref="I7:J7"/>
    <mergeCell ref="K7:K9"/>
    <mergeCell ref="L7:L9"/>
    <mergeCell ref="G8:G9"/>
    <mergeCell ref="H8:H9"/>
    <mergeCell ref="J18:L18"/>
    <mergeCell ref="J19:L19"/>
    <mergeCell ref="I8:I9"/>
    <mergeCell ref="J8:J9"/>
    <mergeCell ref="J13:L13"/>
    <mergeCell ref="J14:L14"/>
    <mergeCell ref="J15:L15"/>
  </mergeCells>
  <printOptions horizontalCentered="1"/>
  <pageMargins left="3.937007874015748E-2" right="3.937007874015748E-2" top="3.937007874015748E-2" bottom="3.937007874015748E-2" header="3.937007874015748E-2" footer="3.937007874015748E-2"/>
  <pageSetup paperSize="20000" scale="8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FE5EC-94F2-4801-9D58-CD35B21487C7}">
  <dimension ref="A1:N73"/>
  <sheetViews>
    <sheetView workbookViewId="0">
      <selection activeCell="A34" sqref="A34:N34"/>
    </sheetView>
  </sheetViews>
  <sheetFormatPr defaultRowHeight="15" x14ac:dyDescent="0.25"/>
  <cols>
    <col min="1" max="1" width="3.5703125" customWidth="1"/>
    <col min="2" max="2" width="13.28515625" bestFit="1" customWidth="1"/>
    <col min="3" max="3" width="7" bestFit="1" customWidth="1"/>
    <col min="4" max="4" width="12.7109375" bestFit="1" customWidth="1"/>
    <col min="5" max="5" width="12" bestFit="1" customWidth="1"/>
    <col min="6" max="6" width="14.7109375" bestFit="1" customWidth="1"/>
    <col min="7" max="7" width="8.7109375" bestFit="1" customWidth="1"/>
    <col min="8" max="8" width="9.5703125" bestFit="1" customWidth="1"/>
    <col min="9" max="9" width="5.7109375" bestFit="1" customWidth="1"/>
    <col min="10" max="10" width="7.140625" bestFit="1" customWidth="1"/>
    <col min="11" max="11" width="12.28515625" customWidth="1"/>
    <col min="12" max="12" width="12.28515625" bestFit="1" customWidth="1"/>
    <col min="13" max="13" width="2.85546875" bestFit="1" customWidth="1"/>
    <col min="14" max="14" width="6.28515625" bestFit="1" customWidth="1"/>
  </cols>
  <sheetData>
    <row r="1" spans="1:14" x14ac:dyDescent="0.25">
      <c r="L1" s="370" t="s">
        <v>548</v>
      </c>
      <c r="M1" s="370"/>
      <c r="N1" s="370"/>
    </row>
    <row r="2" spans="1:14" ht="15.75" x14ac:dyDescent="0.25">
      <c r="A2" s="351" t="s">
        <v>549</v>
      </c>
      <c r="B2" s="351"/>
      <c r="C2" s="351"/>
      <c r="D2" s="351"/>
      <c r="E2" s="351"/>
      <c r="F2" s="351"/>
      <c r="G2" s="351"/>
      <c r="H2" s="351"/>
      <c r="I2" s="351"/>
      <c r="J2" s="351"/>
      <c r="K2" s="351"/>
      <c r="L2" s="351"/>
      <c r="M2" s="351"/>
      <c r="N2" s="351"/>
    </row>
    <row r="3" spans="1:14" x14ac:dyDescent="0.25">
      <c r="A3" s="347" t="str">
        <f>'[1]Kepala Sekolah'!A3</f>
        <v>UNIT KERJA : SMP NEGERI 2 KARANGTENGAH</v>
      </c>
      <c r="B3" s="347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</row>
    <row r="4" spans="1:14" ht="15.75" x14ac:dyDescent="0.25">
      <c r="A4" s="351" t="str">
        <f>'Kepala Sekolah'!A4</f>
        <v>PER : 1 Agustus 2025</v>
      </c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</row>
    <row r="5" spans="1:14" x14ac:dyDescent="0.25">
      <c r="A5" s="219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</row>
    <row r="6" spans="1:14" ht="22.5" x14ac:dyDescent="0.25">
      <c r="A6" s="352" t="s">
        <v>8</v>
      </c>
      <c r="B6" s="220" t="s">
        <v>447</v>
      </c>
      <c r="C6" s="348" t="s">
        <v>425</v>
      </c>
      <c r="D6" s="348" t="s">
        <v>550</v>
      </c>
      <c r="E6" s="348" t="s">
        <v>448</v>
      </c>
      <c r="F6" s="348" t="s">
        <v>559</v>
      </c>
      <c r="G6" s="356" t="s">
        <v>551</v>
      </c>
      <c r="H6" s="373"/>
      <c r="I6" s="373"/>
      <c r="J6" s="373"/>
      <c r="K6" s="373"/>
      <c r="L6" s="348" t="s">
        <v>552</v>
      </c>
      <c r="M6" s="371" t="s">
        <v>553</v>
      </c>
      <c r="N6" s="372"/>
    </row>
    <row r="7" spans="1:14" x14ac:dyDescent="0.25">
      <c r="A7" s="353"/>
      <c r="B7" s="352" t="s">
        <v>424</v>
      </c>
      <c r="C7" s="355"/>
      <c r="D7" s="355"/>
      <c r="E7" s="355"/>
      <c r="F7" s="355"/>
      <c r="G7" s="348" t="s">
        <v>554</v>
      </c>
      <c r="H7" s="348" t="s">
        <v>555</v>
      </c>
      <c r="I7" s="348" t="s">
        <v>600</v>
      </c>
      <c r="J7" s="371" t="s">
        <v>428</v>
      </c>
      <c r="K7" s="372"/>
      <c r="L7" s="355"/>
      <c r="M7" s="352" t="s">
        <v>556</v>
      </c>
      <c r="N7" s="348" t="s">
        <v>557</v>
      </c>
    </row>
    <row r="8" spans="1:14" x14ac:dyDescent="0.25">
      <c r="A8" s="354"/>
      <c r="B8" s="354"/>
      <c r="C8" s="349"/>
      <c r="D8" s="349"/>
      <c r="E8" s="349"/>
      <c r="F8" s="349"/>
      <c r="G8" s="349"/>
      <c r="H8" s="349"/>
      <c r="I8" s="349"/>
      <c r="J8" s="222" t="s">
        <v>433</v>
      </c>
      <c r="K8" s="221" t="s">
        <v>558</v>
      </c>
      <c r="L8" s="349"/>
      <c r="M8" s="354"/>
      <c r="N8" s="349"/>
    </row>
    <row r="9" spans="1:14" x14ac:dyDescent="0.25">
      <c r="A9" s="367" t="s">
        <v>455</v>
      </c>
      <c r="B9" s="368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9"/>
    </row>
    <row r="10" spans="1:14" x14ac:dyDescent="0.25">
      <c r="A10" s="223"/>
      <c r="B10" s="233" t="s">
        <v>34</v>
      </c>
      <c r="C10" s="229"/>
      <c r="D10" s="229"/>
      <c r="E10" s="229"/>
      <c r="F10" s="229"/>
      <c r="G10" s="229"/>
      <c r="H10" s="229"/>
      <c r="I10" s="234"/>
      <c r="J10" s="235"/>
      <c r="K10" s="234"/>
      <c r="L10" s="234"/>
      <c r="M10" s="235"/>
      <c r="N10" s="235"/>
    </row>
    <row r="11" spans="1:14" x14ac:dyDescent="0.25">
      <c r="A11" s="223"/>
      <c r="B11" s="223"/>
      <c r="C11" s="229"/>
      <c r="D11" s="229"/>
      <c r="E11" s="229"/>
      <c r="F11" s="229"/>
      <c r="G11" s="229"/>
      <c r="H11" s="229"/>
      <c r="I11" s="234"/>
      <c r="J11" s="235"/>
      <c r="K11" s="234"/>
      <c r="L11" s="234"/>
      <c r="M11" s="235"/>
      <c r="N11" s="235"/>
    </row>
    <row r="12" spans="1:14" x14ac:dyDescent="0.25">
      <c r="A12" s="360" t="s">
        <v>462</v>
      </c>
      <c r="B12" s="361"/>
      <c r="C12" s="361"/>
      <c r="D12" s="361"/>
      <c r="E12" s="361"/>
      <c r="F12" s="361"/>
      <c r="G12" s="361"/>
      <c r="H12" s="361"/>
      <c r="I12" s="361"/>
      <c r="J12" s="361"/>
      <c r="K12" s="361"/>
      <c r="L12" s="361"/>
      <c r="M12" s="361"/>
      <c r="N12" s="362"/>
    </row>
    <row r="13" spans="1:14" x14ac:dyDescent="0.25">
      <c r="A13" s="223"/>
      <c r="B13" s="233" t="s">
        <v>34</v>
      </c>
      <c r="C13" s="229"/>
      <c r="D13" s="229"/>
      <c r="E13" s="229"/>
      <c r="F13" s="229"/>
      <c r="G13" s="229"/>
      <c r="H13" s="229"/>
      <c r="I13" s="234"/>
      <c r="J13" s="235"/>
      <c r="K13" s="234"/>
      <c r="L13" s="234"/>
      <c r="M13" s="235"/>
      <c r="N13" s="235"/>
    </row>
    <row r="14" spans="1:14" x14ac:dyDescent="0.25">
      <c r="A14" s="223"/>
      <c r="B14" s="233"/>
      <c r="C14" s="229"/>
      <c r="D14" s="229"/>
      <c r="E14" s="229"/>
      <c r="F14" s="229"/>
      <c r="G14" s="229"/>
      <c r="H14" s="229"/>
      <c r="I14" s="234"/>
      <c r="J14" s="235"/>
      <c r="K14" s="234"/>
      <c r="L14" s="234"/>
      <c r="M14" s="235"/>
      <c r="N14" s="235"/>
    </row>
    <row r="15" spans="1:14" x14ac:dyDescent="0.25">
      <c r="A15" s="360" t="s">
        <v>463</v>
      </c>
      <c r="B15" s="361"/>
      <c r="C15" s="361"/>
      <c r="D15" s="361"/>
      <c r="E15" s="361"/>
      <c r="F15" s="361"/>
      <c r="G15" s="361"/>
      <c r="H15" s="361"/>
      <c r="I15" s="361"/>
      <c r="J15" s="361"/>
      <c r="K15" s="361"/>
      <c r="L15" s="361"/>
      <c r="M15" s="361"/>
      <c r="N15" s="362"/>
    </row>
    <row r="16" spans="1:14" x14ac:dyDescent="0.25">
      <c r="A16" s="223"/>
      <c r="B16" s="233" t="s">
        <v>34</v>
      </c>
      <c r="C16" s="229"/>
      <c r="D16" s="229"/>
      <c r="E16" s="229"/>
      <c r="F16" s="229"/>
      <c r="G16" s="229"/>
      <c r="H16" s="229"/>
      <c r="I16" s="234"/>
      <c r="J16" s="235"/>
      <c r="K16" s="234"/>
      <c r="L16" s="234"/>
      <c r="M16" s="235"/>
      <c r="N16" s="235"/>
    </row>
    <row r="17" spans="1:14" x14ac:dyDescent="0.25">
      <c r="A17" s="223"/>
      <c r="B17" s="223"/>
      <c r="C17" s="229"/>
      <c r="D17" s="229"/>
      <c r="E17" s="229"/>
      <c r="F17" s="229"/>
      <c r="G17" s="229"/>
      <c r="H17" s="229"/>
      <c r="I17" s="234"/>
      <c r="J17" s="235"/>
      <c r="K17" s="234"/>
      <c r="L17" s="234"/>
      <c r="M17" s="235"/>
      <c r="N17" s="235"/>
    </row>
    <row r="18" spans="1:14" x14ac:dyDescent="0.25">
      <c r="A18" s="360" t="s">
        <v>464</v>
      </c>
      <c r="B18" s="361"/>
      <c r="C18" s="361"/>
      <c r="D18" s="361"/>
      <c r="E18" s="361"/>
      <c r="F18" s="361"/>
      <c r="G18" s="361"/>
      <c r="H18" s="361"/>
      <c r="I18" s="361"/>
      <c r="J18" s="361"/>
      <c r="K18" s="361"/>
      <c r="L18" s="361"/>
      <c r="M18" s="361"/>
      <c r="N18" s="362"/>
    </row>
    <row r="19" spans="1:14" x14ac:dyDescent="0.25">
      <c r="A19" s="223"/>
      <c r="B19" s="223"/>
      <c r="C19" s="229"/>
      <c r="D19" s="229"/>
      <c r="E19" s="229"/>
      <c r="F19" s="229"/>
      <c r="G19" s="229"/>
      <c r="H19" s="229"/>
      <c r="I19" s="234"/>
      <c r="J19" s="235"/>
      <c r="K19" s="234"/>
      <c r="L19" s="234"/>
      <c r="M19" s="235"/>
      <c r="N19" s="235"/>
    </row>
    <row r="20" spans="1:14" x14ac:dyDescent="0.25">
      <c r="A20" s="223"/>
      <c r="B20" s="223"/>
      <c r="C20" s="229"/>
      <c r="D20" s="229"/>
      <c r="E20" s="229"/>
      <c r="F20" s="229"/>
      <c r="G20" s="229"/>
      <c r="H20" s="229"/>
      <c r="I20" s="234"/>
      <c r="J20" s="235"/>
      <c r="K20" s="234"/>
      <c r="L20" s="234"/>
      <c r="M20" s="235"/>
      <c r="N20" s="235"/>
    </row>
    <row r="21" spans="1:14" x14ac:dyDescent="0.25">
      <c r="A21" s="360" t="s">
        <v>465</v>
      </c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2"/>
    </row>
    <row r="22" spans="1:14" x14ac:dyDescent="0.25">
      <c r="A22" s="223"/>
      <c r="B22" s="233" t="s">
        <v>34</v>
      </c>
      <c r="C22" s="229"/>
      <c r="D22" s="229"/>
      <c r="E22" s="229"/>
      <c r="F22" s="229"/>
      <c r="G22" s="229"/>
      <c r="H22" s="229"/>
      <c r="I22" s="234"/>
      <c r="J22" s="235"/>
      <c r="K22" s="234"/>
      <c r="L22" s="234"/>
      <c r="M22" s="235"/>
      <c r="N22" s="235"/>
    </row>
    <row r="23" spans="1:14" x14ac:dyDescent="0.25">
      <c r="A23" s="223"/>
      <c r="B23" s="223"/>
      <c r="C23" s="229"/>
      <c r="D23" s="229"/>
      <c r="E23" s="229"/>
      <c r="F23" s="229"/>
      <c r="G23" s="229"/>
      <c r="H23" s="229"/>
      <c r="I23" s="234"/>
      <c r="J23" s="235"/>
      <c r="K23" s="234"/>
      <c r="L23" s="234"/>
      <c r="M23" s="235"/>
      <c r="N23" s="235"/>
    </row>
    <row r="24" spans="1:14" x14ac:dyDescent="0.25">
      <c r="A24" s="363" t="s">
        <v>97</v>
      </c>
      <c r="B24" s="364"/>
      <c r="C24" s="364"/>
      <c r="D24" s="364"/>
      <c r="E24" s="364"/>
      <c r="F24" s="364"/>
      <c r="G24" s="364"/>
      <c r="H24" s="364"/>
      <c r="I24" s="364"/>
      <c r="J24" s="364"/>
      <c r="K24" s="364"/>
      <c r="L24" s="364"/>
      <c r="M24" s="364"/>
      <c r="N24" s="365"/>
    </row>
    <row r="25" spans="1:14" x14ac:dyDescent="0.25">
      <c r="A25" s="223"/>
      <c r="B25" s="224"/>
      <c r="C25" s="245"/>
      <c r="D25" s="246"/>
      <c r="E25" s="237"/>
      <c r="F25" s="231"/>
      <c r="G25" s="245"/>
      <c r="H25" s="246"/>
      <c r="I25" s="246"/>
      <c r="J25" s="232"/>
      <c r="K25" s="245"/>
      <c r="L25" s="244"/>
      <c r="M25" s="235"/>
      <c r="N25" s="235"/>
    </row>
    <row r="26" spans="1:14" x14ac:dyDescent="0.25">
      <c r="A26" s="223"/>
      <c r="B26" s="223"/>
      <c r="C26" s="229"/>
      <c r="D26" s="229"/>
      <c r="E26" s="229"/>
      <c r="F26" s="229"/>
      <c r="G26" s="229"/>
      <c r="H26" s="229"/>
      <c r="I26" s="234"/>
      <c r="J26" s="235"/>
      <c r="K26" s="234"/>
      <c r="L26" s="234"/>
      <c r="M26" s="235"/>
      <c r="N26" s="235"/>
    </row>
    <row r="27" spans="1:14" x14ac:dyDescent="0.25">
      <c r="A27" s="357" t="s">
        <v>305</v>
      </c>
      <c r="B27" s="358"/>
      <c r="C27" s="358"/>
      <c r="D27" s="358"/>
      <c r="E27" s="358"/>
      <c r="F27" s="358"/>
      <c r="G27" s="358"/>
      <c r="H27" s="358"/>
      <c r="I27" s="358"/>
      <c r="J27" s="358"/>
      <c r="K27" s="358"/>
      <c r="L27" s="358"/>
      <c r="M27" s="358"/>
      <c r="N27" s="359"/>
    </row>
    <row r="28" spans="1:14" x14ac:dyDescent="0.25">
      <c r="A28" s="223"/>
      <c r="B28" s="247" t="s">
        <v>34</v>
      </c>
      <c r="C28" s="229"/>
      <c r="D28" s="229"/>
      <c r="E28" s="229"/>
      <c r="F28" s="229"/>
      <c r="G28" s="229"/>
      <c r="H28" s="229"/>
      <c r="I28" s="234"/>
      <c r="J28" s="235"/>
      <c r="K28" s="234"/>
      <c r="L28" s="234"/>
      <c r="M28" s="235"/>
      <c r="N28" s="235"/>
    </row>
    <row r="29" spans="1:14" x14ac:dyDescent="0.25">
      <c r="A29" s="223"/>
      <c r="B29" s="223"/>
      <c r="C29" s="225"/>
      <c r="D29" s="225"/>
      <c r="E29" s="225"/>
      <c r="F29" s="225"/>
      <c r="G29" s="225"/>
      <c r="H29" s="225"/>
      <c r="I29" s="225"/>
      <c r="J29" s="223"/>
      <c r="K29" s="225"/>
      <c r="L29" s="225"/>
      <c r="M29" s="223"/>
      <c r="N29" s="223"/>
    </row>
    <row r="30" spans="1:14" x14ac:dyDescent="0.25">
      <c r="A30" s="363" t="s">
        <v>51</v>
      </c>
      <c r="B30" s="364"/>
      <c r="C30" s="364"/>
      <c r="D30" s="364"/>
      <c r="E30" s="364"/>
      <c r="F30" s="364"/>
      <c r="G30" s="364"/>
      <c r="H30" s="364"/>
      <c r="I30" s="364"/>
      <c r="J30" s="364"/>
      <c r="K30" s="364"/>
      <c r="L30" s="364"/>
      <c r="M30" s="364"/>
      <c r="N30" s="365"/>
    </row>
    <row r="31" spans="1:14" x14ac:dyDescent="0.25">
      <c r="A31" s="223"/>
      <c r="B31" s="239"/>
      <c r="C31" s="238"/>
      <c r="D31" s="248"/>
      <c r="E31" s="237"/>
      <c r="F31" s="231"/>
      <c r="G31" s="238"/>
      <c r="H31" s="236"/>
      <c r="I31" s="236"/>
      <c r="J31" s="232"/>
      <c r="K31" s="245"/>
      <c r="L31" s="249"/>
      <c r="M31" s="235"/>
      <c r="N31" s="235"/>
    </row>
    <row r="32" spans="1:14" x14ac:dyDescent="0.25">
      <c r="A32" s="223"/>
      <c r="B32" s="239"/>
      <c r="C32" s="245"/>
      <c r="D32" s="246"/>
      <c r="E32" s="237"/>
      <c r="F32" s="230"/>
      <c r="G32" s="245"/>
      <c r="H32" s="246"/>
      <c r="I32" s="246"/>
      <c r="J32" s="232"/>
      <c r="K32" s="245"/>
      <c r="L32" s="244"/>
      <c r="M32" s="235"/>
      <c r="N32" s="235"/>
    </row>
    <row r="33" spans="1:14" x14ac:dyDescent="0.25">
      <c r="A33" s="223"/>
      <c r="B33" s="223"/>
      <c r="C33" s="229"/>
      <c r="D33" s="229"/>
      <c r="E33" s="229"/>
      <c r="F33" s="229"/>
      <c r="G33" s="229"/>
      <c r="H33" s="229"/>
      <c r="I33" s="234"/>
      <c r="J33" s="235"/>
      <c r="K33" s="234"/>
      <c r="L33" s="234"/>
      <c r="M33" s="235"/>
      <c r="N33" s="235"/>
    </row>
    <row r="34" spans="1:14" x14ac:dyDescent="0.25">
      <c r="A34" s="363" t="s">
        <v>491</v>
      </c>
      <c r="B34" s="364"/>
      <c r="C34" s="364"/>
      <c r="D34" s="364"/>
      <c r="E34" s="364"/>
      <c r="F34" s="364"/>
      <c r="G34" s="364"/>
      <c r="H34" s="364"/>
      <c r="I34" s="364"/>
      <c r="J34" s="364"/>
      <c r="K34" s="364"/>
      <c r="L34" s="364"/>
      <c r="M34" s="364"/>
      <c r="N34" s="365"/>
    </row>
    <row r="35" spans="1:14" x14ac:dyDescent="0.25">
      <c r="A35" s="223"/>
      <c r="B35" s="233"/>
      <c r="C35" s="229"/>
      <c r="D35" s="229"/>
      <c r="E35" s="229"/>
      <c r="F35" s="229"/>
      <c r="G35" s="229"/>
      <c r="H35" s="229"/>
      <c r="I35" s="234"/>
      <c r="J35" s="235"/>
      <c r="K35" s="234"/>
      <c r="L35" s="234"/>
      <c r="M35" s="235"/>
      <c r="N35" s="235"/>
    </row>
    <row r="36" spans="1:14" x14ac:dyDescent="0.25">
      <c r="A36" s="223"/>
      <c r="B36" s="223"/>
      <c r="C36" s="229"/>
      <c r="D36" s="229"/>
      <c r="E36" s="229"/>
      <c r="F36" s="229"/>
      <c r="G36" s="229"/>
      <c r="H36" s="229"/>
      <c r="I36" s="234"/>
      <c r="J36" s="235"/>
      <c r="K36" s="234"/>
      <c r="L36" s="234"/>
      <c r="M36" s="235"/>
      <c r="N36" s="235"/>
    </row>
    <row r="37" spans="1:14" x14ac:dyDescent="0.25">
      <c r="A37" s="357" t="s">
        <v>497</v>
      </c>
      <c r="B37" s="358"/>
      <c r="C37" s="358"/>
      <c r="D37" s="358"/>
      <c r="E37" s="358"/>
      <c r="F37" s="358"/>
      <c r="G37" s="358"/>
      <c r="H37" s="358"/>
      <c r="I37" s="358"/>
      <c r="J37" s="358"/>
      <c r="K37" s="358"/>
      <c r="L37" s="358"/>
      <c r="M37" s="358"/>
      <c r="N37" s="359"/>
    </row>
    <row r="38" spans="1:14" x14ac:dyDescent="0.25">
      <c r="A38" s="223"/>
      <c r="B38" s="239"/>
      <c r="C38" s="245"/>
      <c r="D38" s="246"/>
      <c r="E38" s="250"/>
      <c r="F38" s="231"/>
      <c r="G38" s="245"/>
      <c r="H38" s="246"/>
      <c r="I38" s="246"/>
      <c r="J38" s="250"/>
      <c r="K38" s="245"/>
      <c r="L38" s="244"/>
      <c r="M38" s="235"/>
      <c r="N38" s="235"/>
    </row>
    <row r="39" spans="1:14" x14ac:dyDescent="0.25">
      <c r="A39" s="223"/>
      <c r="B39" s="223"/>
      <c r="C39" s="229"/>
      <c r="D39" s="229"/>
      <c r="E39" s="229"/>
      <c r="F39" s="229"/>
      <c r="G39" s="229"/>
      <c r="H39" s="229"/>
      <c r="I39" s="234"/>
      <c r="J39" s="235"/>
      <c r="K39" s="234"/>
      <c r="L39" s="234"/>
      <c r="M39" s="235"/>
      <c r="N39" s="235"/>
    </row>
    <row r="40" spans="1:14" x14ac:dyDescent="0.25">
      <c r="A40" s="357" t="s">
        <v>504</v>
      </c>
      <c r="B40" s="358"/>
      <c r="C40" s="358"/>
      <c r="D40" s="358"/>
      <c r="E40" s="358"/>
      <c r="F40" s="358"/>
      <c r="G40" s="358"/>
      <c r="H40" s="358"/>
      <c r="I40" s="358"/>
      <c r="J40" s="358"/>
      <c r="K40" s="358"/>
      <c r="L40" s="358"/>
      <c r="M40" s="358"/>
      <c r="N40" s="359"/>
    </row>
    <row r="41" spans="1:14" x14ac:dyDescent="0.25">
      <c r="A41" s="223"/>
      <c r="B41" s="258" t="s">
        <v>34</v>
      </c>
      <c r="C41" s="229"/>
      <c r="D41" s="229"/>
      <c r="E41" s="229"/>
      <c r="F41" s="229"/>
      <c r="G41" s="229"/>
      <c r="H41" s="229"/>
      <c r="I41" s="234"/>
      <c r="J41" s="235"/>
      <c r="K41" s="234"/>
      <c r="L41" s="234"/>
      <c r="M41" s="235"/>
      <c r="N41" s="235"/>
    </row>
    <row r="42" spans="1:14" x14ac:dyDescent="0.25">
      <c r="A42" s="223"/>
      <c r="B42" s="223"/>
      <c r="C42" s="229"/>
      <c r="D42" s="229"/>
      <c r="E42" s="229"/>
      <c r="F42" s="229"/>
      <c r="G42" s="229"/>
      <c r="H42" s="229"/>
      <c r="I42" s="234"/>
      <c r="J42" s="235"/>
      <c r="K42" s="234"/>
      <c r="L42" s="234"/>
      <c r="M42" s="235"/>
      <c r="N42" s="235"/>
    </row>
    <row r="43" spans="1:14" x14ac:dyDescent="0.25">
      <c r="A43" s="357" t="s">
        <v>59</v>
      </c>
      <c r="B43" s="358"/>
      <c r="C43" s="358"/>
      <c r="D43" s="358"/>
      <c r="E43" s="358"/>
      <c r="F43" s="358"/>
      <c r="G43" s="358"/>
      <c r="H43" s="358"/>
      <c r="I43" s="358"/>
      <c r="J43" s="358"/>
      <c r="K43" s="358"/>
      <c r="L43" s="358"/>
      <c r="M43" s="358"/>
      <c r="N43" s="359"/>
    </row>
    <row r="44" spans="1:14" x14ac:dyDescent="0.25">
      <c r="A44" s="223"/>
      <c r="B44" s="251"/>
      <c r="C44" s="245"/>
      <c r="D44" s="246"/>
      <c r="E44" s="229"/>
      <c r="F44" s="230"/>
      <c r="G44" s="245"/>
      <c r="H44" s="246"/>
      <c r="I44" s="246"/>
      <c r="J44" s="250"/>
      <c r="K44" s="245"/>
      <c r="L44" s="249"/>
      <c r="M44" s="235"/>
      <c r="N44" s="235"/>
    </row>
    <row r="45" spans="1:14" x14ac:dyDescent="0.25">
      <c r="A45" s="223"/>
      <c r="B45" s="252"/>
      <c r="C45" s="237"/>
      <c r="D45" s="236"/>
      <c r="E45" s="229"/>
      <c r="F45" s="231"/>
      <c r="G45" s="237"/>
      <c r="H45" s="236"/>
      <c r="I45" s="236"/>
      <c r="J45" s="232"/>
      <c r="K45" s="249"/>
      <c r="L45" s="249"/>
      <c r="M45" s="232"/>
      <c r="N45" s="235"/>
    </row>
    <row r="46" spans="1:14" x14ac:dyDescent="0.25">
      <c r="A46" s="223"/>
      <c r="B46" s="223"/>
      <c r="C46" s="229"/>
      <c r="D46" s="229"/>
      <c r="E46" s="229"/>
      <c r="F46" s="229"/>
      <c r="G46" s="229"/>
      <c r="H46" s="229"/>
      <c r="I46" s="234"/>
      <c r="J46" s="235"/>
      <c r="K46" s="234"/>
      <c r="L46" s="234"/>
      <c r="M46" s="235"/>
      <c r="N46" s="235"/>
    </row>
    <row r="47" spans="1:14" x14ac:dyDescent="0.25">
      <c r="A47" s="357" t="s">
        <v>527</v>
      </c>
      <c r="B47" s="358"/>
      <c r="C47" s="358"/>
      <c r="D47" s="358"/>
      <c r="E47" s="358"/>
      <c r="F47" s="358"/>
      <c r="G47" s="358"/>
      <c r="H47" s="358"/>
      <c r="I47" s="358"/>
      <c r="J47" s="358"/>
      <c r="K47" s="358"/>
      <c r="L47" s="358"/>
      <c r="M47" s="358"/>
      <c r="N47" s="359"/>
    </row>
    <row r="48" spans="1:14" x14ac:dyDescent="0.25">
      <c r="A48" s="223"/>
      <c r="B48" s="240"/>
      <c r="C48" s="245"/>
      <c r="D48" s="246"/>
      <c r="E48" s="237"/>
      <c r="F48" s="231"/>
      <c r="G48" s="245"/>
      <c r="H48" s="246"/>
      <c r="I48" s="246"/>
      <c r="J48" s="250"/>
      <c r="K48" s="245"/>
      <c r="L48" s="244"/>
      <c r="M48" s="235"/>
      <c r="N48" s="235"/>
    </row>
    <row r="49" spans="1:14" x14ac:dyDescent="0.25">
      <c r="A49" s="223"/>
      <c r="B49" s="253"/>
      <c r="C49" s="259"/>
      <c r="D49" s="236"/>
      <c r="E49" s="237"/>
      <c r="F49" s="231"/>
      <c r="G49" s="237"/>
      <c r="H49" s="236"/>
      <c r="I49" s="236"/>
      <c r="J49" s="250"/>
      <c r="K49" s="249"/>
      <c r="L49" s="249"/>
      <c r="M49" s="232"/>
      <c r="N49" s="232"/>
    </row>
    <row r="50" spans="1:14" x14ac:dyDescent="0.25">
      <c r="A50" s="223"/>
      <c r="B50" s="223"/>
      <c r="C50" s="229"/>
      <c r="D50" s="229"/>
      <c r="E50" s="229"/>
      <c r="F50" s="229"/>
      <c r="G50" s="229"/>
      <c r="H50" s="229"/>
      <c r="I50" s="234"/>
      <c r="J50" s="235"/>
      <c r="K50" s="234"/>
      <c r="L50" s="234"/>
      <c r="M50" s="235"/>
      <c r="N50" s="235"/>
    </row>
    <row r="51" spans="1:14" x14ac:dyDescent="0.25">
      <c r="A51" s="363" t="s">
        <v>531</v>
      </c>
      <c r="B51" s="364"/>
      <c r="C51" s="364"/>
      <c r="D51" s="364"/>
      <c r="E51" s="364"/>
      <c r="F51" s="364"/>
      <c r="G51" s="364"/>
      <c r="H51" s="364"/>
      <c r="I51" s="364"/>
      <c r="J51" s="364"/>
      <c r="K51" s="364"/>
      <c r="L51" s="364"/>
      <c r="M51" s="364"/>
      <c r="N51" s="365"/>
    </row>
    <row r="52" spans="1:14" x14ac:dyDescent="0.25">
      <c r="A52" s="223"/>
      <c r="B52" s="233"/>
      <c r="C52" s="229"/>
      <c r="D52" s="229"/>
      <c r="E52" s="229"/>
      <c r="F52" s="254"/>
      <c r="G52" s="229"/>
      <c r="H52" s="228"/>
      <c r="I52" s="228"/>
      <c r="J52" s="235"/>
      <c r="K52" s="234"/>
      <c r="L52" s="234"/>
      <c r="M52" s="235"/>
      <c r="N52" s="235"/>
    </row>
    <row r="53" spans="1:14" x14ac:dyDescent="0.25">
      <c r="A53" s="223"/>
      <c r="B53" s="223"/>
      <c r="C53" s="225"/>
      <c r="D53" s="225"/>
      <c r="E53" s="225"/>
      <c r="F53" s="225"/>
      <c r="G53" s="225"/>
      <c r="H53" s="225"/>
      <c r="I53" s="225"/>
      <c r="J53" s="223"/>
      <c r="K53" s="225"/>
      <c r="L53" s="225"/>
      <c r="M53" s="223"/>
      <c r="N53" s="223"/>
    </row>
    <row r="54" spans="1:14" x14ac:dyDescent="0.25">
      <c r="A54" s="357" t="s">
        <v>536</v>
      </c>
      <c r="B54" s="358"/>
      <c r="C54" s="358"/>
      <c r="D54" s="358"/>
      <c r="E54" s="358"/>
      <c r="F54" s="358"/>
      <c r="G54" s="358"/>
      <c r="H54" s="358"/>
      <c r="I54" s="358"/>
      <c r="J54" s="358"/>
      <c r="K54" s="358"/>
      <c r="L54" s="358"/>
      <c r="M54" s="358"/>
      <c r="N54" s="359"/>
    </row>
    <row r="55" spans="1:14" x14ac:dyDescent="0.25">
      <c r="A55" s="223"/>
      <c r="B55" s="233" t="s">
        <v>34</v>
      </c>
      <c r="C55" s="229"/>
      <c r="D55" s="229"/>
      <c r="E55" s="229"/>
      <c r="F55" s="229"/>
      <c r="G55" s="229"/>
      <c r="H55" s="229"/>
      <c r="I55" s="234"/>
      <c r="J55" s="235"/>
      <c r="K55" s="234"/>
      <c r="L55" s="234"/>
      <c r="M55" s="235"/>
      <c r="N55" s="235"/>
    </row>
    <row r="56" spans="1:14" x14ac:dyDescent="0.25">
      <c r="A56" s="223"/>
      <c r="B56" s="223"/>
      <c r="C56" s="229"/>
      <c r="D56" s="229"/>
      <c r="E56" s="229"/>
      <c r="F56" s="229"/>
      <c r="G56" s="229"/>
      <c r="H56" s="229"/>
      <c r="I56" s="234"/>
      <c r="J56" s="235"/>
      <c r="K56" s="234"/>
      <c r="L56" s="234"/>
      <c r="M56" s="235"/>
      <c r="N56" s="235"/>
    </row>
    <row r="57" spans="1:14" x14ac:dyDescent="0.25">
      <c r="A57" s="357" t="s">
        <v>537</v>
      </c>
      <c r="B57" s="358"/>
      <c r="C57" s="358"/>
      <c r="D57" s="358"/>
      <c r="E57" s="358"/>
      <c r="F57" s="358"/>
      <c r="G57" s="358"/>
      <c r="H57" s="358"/>
      <c r="I57" s="358"/>
      <c r="J57" s="358"/>
      <c r="K57" s="358"/>
      <c r="L57" s="358"/>
      <c r="M57" s="358"/>
      <c r="N57" s="359"/>
    </row>
    <row r="58" spans="1:14" x14ac:dyDescent="0.25">
      <c r="A58" s="223"/>
      <c r="B58" s="239"/>
      <c r="C58" s="245"/>
      <c r="D58" s="246"/>
      <c r="E58" s="237"/>
      <c r="F58" s="231"/>
      <c r="G58" s="245"/>
      <c r="H58" s="246"/>
      <c r="I58" s="246"/>
      <c r="J58" s="250"/>
      <c r="K58" s="245"/>
      <c r="L58" s="244"/>
      <c r="M58" s="235"/>
      <c r="N58" s="235"/>
    </row>
    <row r="59" spans="1:14" x14ac:dyDescent="0.25">
      <c r="A59" s="223"/>
      <c r="B59" s="223"/>
      <c r="C59" s="225"/>
      <c r="D59" s="225"/>
      <c r="E59" s="225"/>
      <c r="F59" s="225"/>
      <c r="G59" s="225"/>
      <c r="H59" s="225"/>
      <c r="I59" s="225"/>
      <c r="J59" s="223"/>
      <c r="K59" s="225"/>
      <c r="L59" s="225"/>
      <c r="M59" s="223"/>
      <c r="N59" s="223"/>
    </row>
    <row r="60" spans="1:14" x14ac:dyDescent="0.25">
      <c r="A60" s="357" t="s">
        <v>85</v>
      </c>
      <c r="B60" s="358"/>
      <c r="C60" s="358"/>
      <c r="D60" s="358"/>
      <c r="E60" s="358"/>
      <c r="F60" s="358"/>
      <c r="G60" s="358"/>
      <c r="H60" s="358"/>
      <c r="I60" s="358"/>
      <c r="J60" s="358"/>
      <c r="K60" s="358"/>
      <c r="L60" s="358"/>
      <c r="M60" s="358"/>
      <c r="N60" s="359"/>
    </row>
    <row r="61" spans="1:14" x14ac:dyDescent="0.25">
      <c r="A61" s="223"/>
      <c r="B61" s="233" t="s">
        <v>34</v>
      </c>
      <c r="C61" s="229"/>
      <c r="D61" s="229"/>
      <c r="E61" s="229"/>
      <c r="F61" s="229"/>
      <c r="G61" s="229"/>
      <c r="H61" s="229"/>
      <c r="I61" s="234"/>
      <c r="J61" s="235"/>
      <c r="K61" s="234"/>
      <c r="L61" s="234"/>
      <c r="M61" s="235"/>
      <c r="N61" s="235"/>
    </row>
    <row r="62" spans="1:14" x14ac:dyDescent="0.25">
      <c r="A62" s="223"/>
      <c r="B62" s="223"/>
      <c r="C62" s="229"/>
      <c r="D62" s="229"/>
      <c r="E62" s="229"/>
      <c r="F62" s="229"/>
      <c r="G62" s="229"/>
      <c r="H62" s="229"/>
      <c r="I62" s="234"/>
      <c r="J62" s="235"/>
      <c r="K62" s="234"/>
      <c r="L62" s="234"/>
      <c r="M62" s="235"/>
      <c r="N62" s="235"/>
    </row>
    <row r="63" spans="1:14" x14ac:dyDescent="0.25">
      <c r="A63" s="327" t="s">
        <v>542</v>
      </c>
      <c r="B63" s="241"/>
      <c r="C63" s="241"/>
      <c r="D63" s="241"/>
      <c r="E63" s="241"/>
      <c r="F63" s="241"/>
      <c r="G63" s="241"/>
      <c r="H63" s="241"/>
      <c r="I63" s="241"/>
      <c r="J63" s="241"/>
      <c r="K63" s="241"/>
      <c r="L63" s="241"/>
      <c r="M63" s="241"/>
      <c r="N63" s="242"/>
    </row>
    <row r="64" spans="1:14" x14ac:dyDescent="0.25">
      <c r="A64" s="223"/>
      <c r="B64" s="224"/>
      <c r="C64" s="245"/>
      <c r="D64" s="246"/>
      <c r="E64" s="237"/>
      <c r="F64" s="230"/>
      <c r="G64" s="255"/>
      <c r="H64" s="246"/>
      <c r="I64" s="246"/>
      <c r="J64" s="250"/>
      <c r="K64" s="245"/>
      <c r="L64" s="234"/>
      <c r="M64" s="235"/>
      <c r="N64" s="235"/>
    </row>
    <row r="65" spans="1:14" x14ac:dyDescent="0.25">
      <c r="A65" s="223"/>
      <c r="B65" s="223"/>
      <c r="C65" s="225"/>
      <c r="D65" s="225"/>
      <c r="E65" s="225"/>
      <c r="F65" s="225"/>
      <c r="G65" s="225"/>
      <c r="H65" s="225"/>
      <c r="I65" s="225"/>
      <c r="J65" s="223"/>
      <c r="K65" s="225"/>
      <c r="L65" s="225"/>
      <c r="M65" s="223"/>
      <c r="N65" s="223"/>
    </row>
    <row r="66" spans="1:14" x14ac:dyDescent="0.25">
      <c r="A66" s="219"/>
      <c r="B66" s="219"/>
      <c r="C66" s="219"/>
      <c r="D66" s="219"/>
      <c r="E66" s="219"/>
      <c r="F66" s="219"/>
      <c r="G66" s="219"/>
      <c r="H66" s="219"/>
      <c r="I66" s="219"/>
      <c r="J66" s="219"/>
      <c r="K66" s="219"/>
      <c r="L66" s="219"/>
      <c r="M66" s="219"/>
      <c r="N66" s="219"/>
    </row>
    <row r="67" spans="1:14" x14ac:dyDescent="0.25">
      <c r="A67" s="219"/>
      <c r="B67" s="219"/>
      <c r="C67" s="219"/>
      <c r="D67" s="219"/>
      <c r="E67" s="219"/>
      <c r="F67" s="219"/>
      <c r="G67" s="219"/>
      <c r="H67" s="219"/>
      <c r="I67" s="219"/>
      <c r="K67" s="346" t="str">
        <f>'Kepala Sekolah'!K12</f>
        <v>Demak, Agustus 2025</v>
      </c>
      <c r="L67" s="346"/>
      <c r="M67" s="346"/>
      <c r="N67" s="346"/>
    </row>
    <row r="68" spans="1:14" x14ac:dyDescent="0.25">
      <c r="A68" s="219"/>
      <c r="B68" s="219"/>
      <c r="C68" s="219"/>
      <c r="D68" s="219"/>
      <c r="E68" s="219"/>
      <c r="F68" s="219"/>
      <c r="G68" s="219"/>
      <c r="H68" s="219"/>
      <c r="I68" s="219"/>
      <c r="K68" s="226" t="str">
        <f>'[1]Kepala Sekolah'!K13</f>
        <v>Kepala SMP Negeri 2 Karangtengah</v>
      </c>
      <c r="L68" s="226"/>
      <c r="M68" s="226"/>
      <c r="N68" s="226"/>
    </row>
    <row r="69" spans="1:14" x14ac:dyDescent="0.25">
      <c r="A69" s="219"/>
      <c r="B69" s="219"/>
      <c r="C69" s="219"/>
      <c r="D69" s="219"/>
      <c r="E69" s="219"/>
      <c r="F69" s="219"/>
      <c r="G69" s="219"/>
      <c r="H69" s="219"/>
      <c r="I69" s="219"/>
      <c r="K69" s="346" t="str">
        <f>'[1]Kepala Sekolah'!K14</f>
        <v>Kabupaten Demak</v>
      </c>
      <c r="L69" s="346"/>
      <c r="M69" s="346"/>
      <c r="N69" s="346"/>
    </row>
    <row r="70" spans="1:14" x14ac:dyDescent="0.25">
      <c r="A70" s="219"/>
      <c r="B70" s="219"/>
      <c r="C70" s="219"/>
      <c r="D70" s="219"/>
      <c r="E70" s="219"/>
      <c r="F70" s="219"/>
      <c r="G70" s="219"/>
      <c r="H70" s="219"/>
      <c r="I70" s="219"/>
      <c r="K70" s="226"/>
      <c r="N70" s="219"/>
    </row>
    <row r="71" spans="1:14" x14ac:dyDescent="0.25">
      <c r="A71" s="219"/>
      <c r="B71" s="219"/>
      <c r="C71" s="219"/>
      <c r="D71" s="219"/>
      <c r="E71" s="219"/>
      <c r="F71" s="219"/>
      <c r="G71" s="219"/>
      <c r="H71" s="219"/>
      <c r="I71" s="219"/>
      <c r="K71" s="226"/>
      <c r="N71" s="219"/>
    </row>
    <row r="72" spans="1:14" x14ac:dyDescent="0.25">
      <c r="A72" s="219"/>
      <c r="B72" s="219"/>
      <c r="C72" s="219"/>
      <c r="D72" s="219"/>
      <c r="E72" s="219"/>
      <c r="F72" s="219"/>
      <c r="G72" s="219"/>
      <c r="H72" s="219"/>
      <c r="I72" s="219"/>
      <c r="K72" s="347" t="str">
        <f>'[1]Kepala Sekolah'!K17</f>
        <v>PRIYANTONO, S.Pd., M.Pd.</v>
      </c>
      <c r="L72" s="347"/>
      <c r="M72" s="347"/>
      <c r="N72" s="347"/>
    </row>
    <row r="73" spans="1:14" x14ac:dyDescent="0.25">
      <c r="A73" s="260"/>
      <c r="B73" s="260"/>
      <c r="C73" s="260"/>
      <c r="D73" s="260"/>
      <c r="E73" s="260"/>
      <c r="F73" s="260"/>
      <c r="G73" s="260"/>
      <c r="H73" s="260"/>
      <c r="I73" s="260"/>
      <c r="K73" s="346" t="str">
        <f>'[1]Kepala Sekolah'!K18</f>
        <v>NIP. 196902251994031005</v>
      </c>
      <c r="L73" s="346"/>
      <c r="M73" s="346"/>
      <c r="N73" s="346"/>
    </row>
  </sheetData>
  <mergeCells count="40">
    <mergeCell ref="L1:N1"/>
    <mergeCell ref="A2:N2"/>
    <mergeCell ref="A3:N3"/>
    <mergeCell ref="A4:N4"/>
    <mergeCell ref="A6:A8"/>
    <mergeCell ref="C6:C8"/>
    <mergeCell ref="D6:D8"/>
    <mergeCell ref="E6:E8"/>
    <mergeCell ref="F6:F8"/>
    <mergeCell ref="G6:K6"/>
    <mergeCell ref="L6:L8"/>
    <mergeCell ref="M6:N6"/>
    <mergeCell ref="B7:B8"/>
    <mergeCell ref="G7:G8"/>
    <mergeCell ref="H7:H8"/>
    <mergeCell ref="I7:I8"/>
    <mergeCell ref="J7:K7"/>
    <mergeCell ref="M7:M8"/>
    <mergeCell ref="N7:N8"/>
    <mergeCell ref="A43:N43"/>
    <mergeCell ref="A9:N9"/>
    <mergeCell ref="A12:N12"/>
    <mergeCell ref="A15:N15"/>
    <mergeCell ref="A18:N18"/>
    <mergeCell ref="A21:N21"/>
    <mergeCell ref="A24:N24"/>
    <mergeCell ref="A27:N27"/>
    <mergeCell ref="A30:N30"/>
    <mergeCell ref="A34:N34"/>
    <mergeCell ref="A37:N37"/>
    <mergeCell ref="A40:N40"/>
    <mergeCell ref="K69:N69"/>
    <mergeCell ref="K67:N67"/>
    <mergeCell ref="K72:N72"/>
    <mergeCell ref="K73:N73"/>
    <mergeCell ref="A47:N47"/>
    <mergeCell ref="A51:N51"/>
    <mergeCell ref="A54:N54"/>
    <mergeCell ref="A57:N57"/>
    <mergeCell ref="A60:N6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713E0-9DD8-4525-9486-6B24D588967E}">
  <dimension ref="A1:N17"/>
  <sheetViews>
    <sheetView workbookViewId="0">
      <selection activeCell="A3" sqref="A3:N3"/>
    </sheetView>
  </sheetViews>
  <sheetFormatPr defaultRowHeight="15" x14ac:dyDescent="0.25"/>
  <cols>
    <col min="1" max="1" width="3.85546875" bestFit="1" customWidth="1"/>
    <col min="2" max="2" width="17.28515625" bestFit="1" customWidth="1"/>
    <col min="3" max="3" width="14.42578125" bestFit="1" customWidth="1"/>
    <col min="4" max="4" width="30.140625" bestFit="1" customWidth="1"/>
    <col min="5" max="5" width="20.7109375" bestFit="1" customWidth="1"/>
    <col min="6" max="6" width="36.42578125" bestFit="1" customWidth="1"/>
    <col min="7" max="7" width="11.28515625" bestFit="1" customWidth="1"/>
    <col min="8" max="8" width="12.7109375" bestFit="1" customWidth="1"/>
    <col min="9" max="9" width="11.28515625" bestFit="1" customWidth="1"/>
    <col min="10" max="10" width="9" bestFit="1" customWidth="1"/>
    <col min="12" max="12" width="35.140625" bestFit="1" customWidth="1"/>
    <col min="13" max="13" width="3.7109375" bestFit="1" customWidth="1"/>
    <col min="14" max="14" width="8.42578125" bestFit="1" customWidth="1"/>
  </cols>
  <sheetData>
    <row r="1" spans="1:14" x14ac:dyDescent="0.25">
      <c r="L1" s="370" t="s">
        <v>560</v>
      </c>
      <c r="M1" s="370"/>
      <c r="N1" s="370"/>
    </row>
    <row r="2" spans="1:14" x14ac:dyDescent="0.25">
      <c r="A2" s="366" t="s">
        <v>608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</row>
    <row r="3" spans="1:14" x14ac:dyDescent="0.25">
      <c r="A3" s="366" t="str">
        <f>'[1]Kepala Sekolah'!A3</f>
        <v>UNIT KERJA : SMP NEGERI 2 KARANGTENGAH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</row>
    <row r="4" spans="1:14" x14ac:dyDescent="0.25">
      <c r="A4" s="366" t="str">
        <f>'Kepala Sekolah'!A4</f>
        <v>PER : 1 Agustus 2025</v>
      </c>
      <c r="B4" s="366"/>
      <c r="C4" s="366"/>
      <c r="D4" s="366"/>
      <c r="E4" s="366"/>
      <c r="F4" s="366"/>
      <c r="G4" s="366"/>
      <c r="H4" s="366"/>
      <c r="I4" s="366"/>
      <c r="J4" s="366"/>
      <c r="K4" s="366"/>
      <c r="L4" s="366"/>
      <c r="M4" s="366"/>
      <c r="N4" s="366"/>
    </row>
    <row r="5" spans="1:14" x14ac:dyDescent="0.25">
      <c r="A5" s="274"/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</row>
    <row r="6" spans="1:14" x14ac:dyDescent="0.25">
      <c r="A6" s="379" t="s">
        <v>8</v>
      </c>
      <c r="B6" s="377" t="s">
        <v>424</v>
      </c>
      <c r="C6" s="377" t="s">
        <v>425</v>
      </c>
      <c r="D6" s="377" t="s">
        <v>550</v>
      </c>
      <c r="E6" s="377" t="s">
        <v>448</v>
      </c>
      <c r="F6" s="377" t="s">
        <v>567</v>
      </c>
      <c r="G6" s="383" t="s">
        <v>561</v>
      </c>
      <c r="H6" s="384"/>
      <c r="I6" s="384"/>
      <c r="J6" s="384"/>
      <c r="K6" s="384"/>
      <c r="L6" s="377" t="s">
        <v>562</v>
      </c>
      <c r="M6" s="375" t="s">
        <v>553</v>
      </c>
      <c r="N6" s="376"/>
    </row>
    <row r="7" spans="1:14" x14ac:dyDescent="0.25">
      <c r="A7" s="381"/>
      <c r="B7" s="382"/>
      <c r="C7" s="382"/>
      <c r="D7" s="382"/>
      <c r="E7" s="382"/>
      <c r="F7" s="382"/>
      <c r="G7" s="377" t="s">
        <v>554</v>
      </c>
      <c r="H7" s="377" t="s">
        <v>555</v>
      </c>
      <c r="I7" s="377" t="s">
        <v>432</v>
      </c>
      <c r="J7" s="375" t="s">
        <v>428</v>
      </c>
      <c r="K7" s="376"/>
      <c r="L7" s="382"/>
      <c r="M7" s="379" t="s">
        <v>556</v>
      </c>
      <c r="N7" s="377" t="s">
        <v>557</v>
      </c>
    </row>
    <row r="8" spans="1:14" x14ac:dyDescent="0.25">
      <c r="A8" s="380"/>
      <c r="B8" s="378"/>
      <c r="C8" s="378"/>
      <c r="D8" s="378"/>
      <c r="E8" s="378"/>
      <c r="F8" s="378"/>
      <c r="G8" s="378"/>
      <c r="H8" s="378"/>
      <c r="I8" s="378"/>
      <c r="J8" s="263" t="s">
        <v>433</v>
      </c>
      <c r="K8" s="262" t="s">
        <v>558</v>
      </c>
      <c r="L8" s="378"/>
      <c r="M8" s="380"/>
      <c r="N8" s="378"/>
    </row>
    <row r="9" spans="1:14" ht="28.5" x14ac:dyDescent="0.25">
      <c r="A9" s="264">
        <v>1</v>
      </c>
      <c r="B9" s="265" t="s">
        <v>563</v>
      </c>
      <c r="C9" s="266" t="s">
        <v>438</v>
      </c>
      <c r="D9" s="267">
        <v>29020</v>
      </c>
      <c r="E9" s="268" t="s">
        <v>279</v>
      </c>
      <c r="F9" s="269" t="s">
        <v>564</v>
      </c>
      <c r="G9" s="270" t="s">
        <v>565</v>
      </c>
      <c r="H9" s="271">
        <v>43467</v>
      </c>
      <c r="I9" s="271">
        <v>39846</v>
      </c>
      <c r="J9" s="264" t="s">
        <v>566</v>
      </c>
      <c r="K9" s="272" t="s">
        <v>34</v>
      </c>
      <c r="L9" s="270" t="s">
        <v>118</v>
      </c>
      <c r="M9" s="276"/>
      <c r="N9" s="264" t="s">
        <v>459</v>
      </c>
    </row>
    <row r="10" spans="1:14" x14ac:dyDescent="0.25">
      <c r="A10" s="273"/>
      <c r="B10" s="273"/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</row>
    <row r="11" spans="1:14" x14ac:dyDescent="0.25">
      <c r="A11" s="273"/>
      <c r="B11" s="273"/>
      <c r="C11" s="273"/>
      <c r="D11" s="273"/>
      <c r="E11" s="273"/>
      <c r="F11" s="273"/>
      <c r="G11" s="273"/>
      <c r="H11" s="273"/>
      <c r="I11" s="273"/>
      <c r="K11" s="374" t="str">
        <f>'Kepala Sekolah'!K12</f>
        <v>Demak, Agustus 2025</v>
      </c>
      <c r="L11" s="374"/>
      <c r="M11" s="274"/>
      <c r="N11" s="274"/>
    </row>
    <row r="12" spans="1:14" x14ac:dyDescent="0.25">
      <c r="A12" s="273"/>
      <c r="B12" s="273"/>
      <c r="C12" s="273"/>
      <c r="D12" s="273"/>
      <c r="E12" s="273"/>
      <c r="F12" s="273"/>
      <c r="G12" s="273"/>
      <c r="H12" s="273"/>
      <c r="I12" s="273"/>
      <c r="K12" s="374" t="str">
        <f>'[1]Kepala Sekolah'!K13</f>
        <v>Kepala SMP Negeri 2 Karangtengah</v>
      </c>
      <c r="L12" s="374"/>
      <c r="M12" s="274"/>
      <c r="N12" s="274"/>
    </row>
    <row r="13" spans="1:14" x14ac:dyDescent="0.25">
      <c r="A13" s="273"/>
      <c r="B13" s="273"/>
      <c r="C13" s="273"/>
      <c r="D13" s="273"/>
      <c r="E13" s="273"/>
      <c r="F13" s="273"/>
      <c r="G13" s="273"/>
      <c r="H13" s="273"/>
      <c r="I13" s="273"/>
      <c r="K13" s="374" t="str">
        <f>'[1]Kepala Sekolah'!K14</f>
        <v>Kabupaten Demak</v>
      </c>
      <c r="L13" s="374"/>
      <c r="M13" s="274"/>
      <c r="N13" s="274"/>
    </row>
    <row r="14" spans="1:14" x14ac:dyDescent="0.25">
      <c r="A14" s="273"/>
      <c r="B14" s="273"/>
      <c r="C14" s="273"/>
      <c r="D14" s="273"/>
      <c r="E14" s="273"/>
      <c r="F14" s="273"/>
      <c r="G14" s="273"/>
      <c r="H14" s="273"/>
      <c r="I14" s="273"/>
      <c r="K14" s="273"/>
      <c r="M14" s="65"/>
      <c r="N14" s="273"/>
    </row>
    <row r="15" spans="1:14" x14ac:dyDescent="0.25">
      <c r="A15" s="273"/>
      <c r="B15" s="273"/>
      <c r="C15" s="273"/>
      <c r="D15" s="273"/>
      <c r="E15" s="273"/>
      <c r="F15" s="273"/>
      <c r="G15" s="273"/>
      <c r="H15" s="273"/>
      <c r="I15" s="273"/>
      <c r="K15" s="273"/>
      <c r="M15" s="65"/>
      <c r="N15" s="273"/>
    </row>
    <row r="16" spans="1:14" x14ac:dyDescent="0.25">
      <c r="A16" s="273"/>
      <c r="B16" s="273"/>
      <c r="C16" s="273"/>
      <c r="D16" s="273"/>
      <c r="E16" s="273"/>
      <c r="F16" s="273"/>
      <c r="G16" s="273"/>
      <c r="H16" s="273"/>
      <c r="I16" s="273"/>
      <c r="K16" s="366" t="str">
        <f>'[1]Kepala Sekolah'!K17</f>
        <v>PRIYANTONO, S.Pd., M.Pd.</v>
      </c>
      <c r="L16" s="366"/>
      <c r="M16" s="275"/>
      <c r="N16" s="275"/>
    </row>
    <row r="17" spans="1:14" x14ac:dyDescent="0.25">
      <c r="A17" s="65"/>
      <c r="B17" s="65"/>
      <c r="C17" s="65"/>
      <c r="D17" s="65"/>
      <c r="E17" s="65"/>
      <c r="F17" s="65"/>
      <c r="G17" s="65"/>
      <c r="H17" s="65"/>
      <c r="I17" s="65"/>
      <c r="K17" s="374" t="str">
        <f>'[1]Kepala Sekolah'!K18</f>
        <v>NIP. 196902251994031005</v>
      </c>
      <c r="L17" s="374"/>
      <c r="M17" s="274"/>
      <c r="N17" s="274"/>
    </row>
  </sheetData>
  <mergeCells count="24">
    <mergeCell ref="L1:N1"/>
    <mergeCell ref="A2:N2"/>
    <mergeCell ref="A3:N3"/>
    <mergeCell ref="A4:N4"/>
    <mergeCell ref="A6:A8"/>
    <mergeCell ref="B6:B8"/>
    <mergeCell ref="C6:C8"/>
    <mergeCell ref="D6:D8"/>
    <mergeCell ref="E6:E8"/>
    <mergeCell ref="F6:F8"/>
    <mergeCell ref="G6:K6"/>
    <mergeCell ref="L6:L8"/>
    <mergeCell ref="M6:N6"/>
    <mergeCell ref="G7:G8"/>
    <mergeCell ref="H7:H8"/>
    <mergeCell ref="I7:I8"/>
    <mergeCell ref="K16:L16"/>
    <mergeCell ref="K17:L17"/>
    <mergeCell ref="J7:K7"/>
    <mergeCell ref="N7:N8"/>
    <mergeCell ref="K11:L11"/>
    <mergeCell ref="M7:M8"/>
    <mergeCell ref="K12:L12"/>
    <mergeCell ref="K13:L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B0B50-051E-4D2D-89FB-49816A9B1F28}">
  <dimension ref="B1:J36"/>
  <sheetViews>
    <sheetView topLeftCell="B1" workbookViewId="0">
      <selection activeCell="H24" sqref="H24"/>
    </sheetView>
  </sheetViews>
  <sheetFormatPr defaultRowHeight="15" x14ac:dyDescent="0.25"/>
  <cols>
    <col min="3" max="3" width="25" bestFit="1" customWidth="1"/>
    <col min="4" max="4" width="22.42578125" bestFit="1" customWidth="1"/>
    <col min="5" max="5" width="36" bestFit="1" customWidth="1"/>
    <col min="6" max="6" width="12.85546875" bestFit="1" customWidth="1"/>
    <col min="7" max="7" width="13.5703125" customWidth="1"/>
    <col min="8" max="8" width="19.140625" customWidth="1"/>
    <col min="9" max="9" width="43.42578125" customWidth="1"/>
    <col min="10" max="10" width="14.85546875" customWidth="1"/>
  </cols>
  <sheetData>
    <row r="1" spans="2:10" x14ac:dyDescent="0.25">
      <c r="B1" s="130"/>
      <c r="C1" s="130"/>
      <c r="D1" s="130"/>
      <c r="E1" s="130"/>
      <c r="F1" s="130"/>
      <c r="G1" s="130"/>
      <c r="H1" s="130"/>
      <c r="I1" s="389" t="s">
        <v>568</v>
      </c>
      <c r="J1" s="389"/>
    </row>
    <row r="2" spans="2:10" x14ac:dyDescent="0.2">
      <c r="B2" s="390" t="s">
        <v>569</v>
      </c>
      <c r="C2" s="390"/>
      <c r="D2" s="390"/>
      <c r="E2" s="390"/>
      <c r="F2" s="390"/>
      <c r="G2" s="390"/>
      <c r="H2" s="390"/>
      <c r="I2" s="390"/>
      <c r="J2" s="390"/>
    </row>
    <row r="3" spans="2:10" ht="15.75" x14ac:dyDescent="0.25">
      <c r="B3" s="391" t="s">
        <v>570</v>
      </c>
      <c r="C3" s="391"/>
      <c r="D3" s="391"/>
      <c r="E3" s="391"/>
      <c r="F3" s="391"/>
      <c r="G3" s="391"/>
      <c r="H3" s="391"/>
      <c r="I3" s="391"/>
      <c r="J3" s="391"/>
    </row>
    <row r="4" spans="2:10" x14ac:dyDescent="0.2">
      <c r="B4" s="390" t="str">
        <f>'Kepala Sekolah'!A4</f>
        <v>PER : 1 Agustus 2025</v>
      </c>
      <c r="C4" s="390"/>
      <c r="D4" s="390"/>
      <c r="E4" s="390"/>
      <c r="F4" s="390"/>
      <c r="G4" s="390"/>
      <c r="H4" s="390"/>
      <c r="I4" s="390"/>
      <c r="J4" s="390"/>
    </row>
    <row r="5" spans="2:10" x14ac:dyDescent="0.2">
      <c r="B5" s="243"/>
      <c r="C5" s="243"/>
      <c r="D5" s="243"/>
      <c r="E5" s="243"/>
      <c r="F5" s="243"/>
      <c r="G5" s="243"/>
      <c r="H5" s="243"/>
      <c r="I5" s="243"/>
      <c r="J5" s="243"/>
    </row>
    <row r="6" spans="2:10" x14ac:dyDescent="0.25">
      <c r="B6" s="385" t="s">
        <v>571</v>
      </c>
      <c r="C6" s="392" t="s">
        <v>572</v>
      </c>
      <c r="D6" s="385" t="s">
        <v>573</v>
      </c>
      <c r="E6" s="385" t="s">
        <v>574</v>
      </c>
      <c r="F6" s="385" t="s">
        <v>575</v>
      </c>
      <c r="G6" s="385" t="s">
        <v>576</v>
      </c>
      <c r="H6" s="385" t="s">
        <v>577</v>
      </c>
      <c r="I6" s="385" t="s">
        <v>590</v>
      </c>
      <c r="J6" s="385" t="s">
        <v>578</v>
      </c>
    </row>
    <row r="7" spans="2:10" ht="21" customHeight="1" x14ac:dyDescent="0.25">
      <c r="B7" s="386"/>
      <c r="C7" s="393"/>
      <c r="D7" s="386"/>
      <c r="E7" s="386"/>
      <c r="F7" s="386"/>
      <c r="G7" s="386"/>
      <c r="H7" s="386"/>
      <c r="I7" s="386"/>
      <c r="J7" s="386"/>
    </row>
    <row r="8" spans="2:10" x14ac:dyDescent="0.25">
      <c r="B8" s="387"/>
      <c r="C8" s="394"/>
      <c r="D8" s="387"/>
      <c r="E8" s="387"/>
      <c r="F8" s="387"/>
      <c r="G8" s="387"/>
      <c r="H8" s="279" t="s">
        <v>579</v>
      </c>
      <c r="I8" s="387"/>
      <c r="J8" s="387"/>
    </row>
    <row r="9" spans="2:10" x14ac:dyDescent="0.25">
      <c r="B9" s="277">
        <v>1</v>
      </c>
      <c r="C9" s="278">
        <v>2</v>
      </c>
      <c r="D9" s="277">
        <v>3</v>
      </c>
      <c r="E9" s="279">
        <v>4</v>
      </c>
      <c r="F9" s="280">
        <v>5</v>
      </c>
      <c r="G9" s="281">
        <v>6</v>
      </c>
      <c r="H9" s="280">
        <v>7</v>
      </c>
      <c r="I9" s="280">
        <v>8</v>
      </c>
      <c r="J9" s="280">
        <v>9</v>
      </c>
    </row>
    <row r="10" spans="2:10" x14ac:dyDescent="0.25">
      <c r="B10" s="286"/>
      <c r="C10" s="287"/>
      <c r="D10" s="286"/>
      <c r="E10" s="288"/>
      <c r="F10" s="286"/>
      <c r="G10" s="289"/>
      <c r="H10" s="286"/>
      <c r="I10" s="286"/>
      <c r="J10" s="286"/>
    </row>
    <row r="11" spans="2:10" x14ac:dyDescent="0.25">
      <c r="B11" s="290" t="s">
        <v>437</v>
      </c>
      <c r="C11" s="291" t="s">
        <v>224</v>
      </c>
      <c r="D11" s="292">
        <f>'R10'!C6</f>
        <v>367</v>
      </c>
      <c r="E11" s="293" t="s">
        <v>455</v>
      </c>
      <c r="F11" s="290">
        <v>13</v>
      </c>
      <c r="G11" s="290">
        <v>6</v>
      </c>
      <c r="H11" s="294">
        <f>(F11*G11)/24</f>
        <v>3.25</v>
      </c>
      <c r="I11" s="290">
        <v>1</v>
      </c>
      <c r="J11" s="294">
        <f t="shared" ref="J11:J16" si="0">(I11-H11)</f>
        <v>-2.25</v>
      </c>
    </row>
    <row r="12" spans="2:10" x14ac:dyDescent="0.25">
      <c r="B12" s="295"/>
      <c r="C12" s="291"/>
      <c r="D12" s="290"/>
      <c r="E12" s="293" t="s">
        <v>580</v>
      </c>
      <c r="F12" s="290">
        <v>0</v>
      </c>
      <c r="G12" s="290">
        <v>0</v>
      </c>
      <c r="H12" s="294">
        <f>(F12*G12)/24</f>
        <v>0</v>
      </c>
      <c r="I12" s="290">
        <v>0</v>
      </c>
      <c r="J12" s="294">
        <f t="shared" si="0"/>
        <v>0</v>
      </c>
    </row>
    <row r="13" spans="2:10" x14ac:dyDescent="0.25">
      <c r="B13" s="295"/>
      <c r="C13" s="291"/>
      <c r="D13" s="290"/>
      <c r="E13" s="293" t="s">
        <v>581</v>
      </c>
      <c r="F13" s="290">
        <v>0</v>
      </c>
      <c r="G13" s="290">
        <v>0</v>
      </c>
      <c r="H13" s="294">
        <f>(F13*G13)/24</f>
        <v>0</v>
      </c>
      <c r="I13" s="290">
        <v>0</v>
      </c>
      <c r="J13" s="294">
        <f t="shared" si="0"/>
        <v>0</v>
      </c>
    </row>
    <row r="14" spans="2:10" x14ac:dyDescent="0.25">
      <c r="B14" s="295"/>
      <c r="C14" s="291"/>
      <c r="D14" s="290"/>
      <c r="E14" s="293" t="s">
        <v>582</v>
      </c>
      <c r="F14" s="290">
        <v>0</v>
      </c>
      <c r="G14" s="290">
        <v>0</v>
      </c>
      <c r="H14" s="294">
        <f>(F14*G14)/24</f>
        <v>0</v>
      </c>
      <c r="I14" s="290">
        <v>0</v>
      </c>
      <c r="J14" s="294">
        <f t="shared" si="0"/>
        <v>0</v>
      </c>
    </row>
    <row r="15" spans="2:10" x14ac:dyDescent="0.25">
      <c r="B15" s="295"/>
      <c r="C15" s="291"/>
      <c r="D15" s="290"/>
      <c r="E15" s="293" t="s">
        <v>465</v>
      </c>
      <c r="F15" s="290">
        <v>0</v>
      </c>
      <c r="G15" s="290">
        <v>0</v>
      </c>
      <c r="H15" s="294">
        <f>(F15*G15)/24</f>
        <v>0</v>
      </c>
      <c r="I15" s="290">
        <v>0</v>
      </c>
      <c r="J15" s="294">
        <f t="shared" si="0"/>
        <v>0</v>
      </c>
    </row>
    <row r="16" spans="2:10" x14ac:dyDescent="0.25">
      <c r="B16" s="295"/>
      <c r="C16" s="291"/>
      <c r="D16" s="290"/>
      <c r="E16" s="295" t="s">
        <v>97</v>
      </c>
      <c r="F16" s="290">
        <v>13</v>
      </c>
      <c r="G16" s="290">
        <v>6</v>
      </c>
      <c r="H16" s="294">
        <f>D11/150</f>
        <v>2.4466666666666668</v>
      </c>
      <c r="I16" s="290">
        <v>1</v>
      </c>
      <c r="J16" s="294">
        <f t="shared" si="0"/>
        <v>-1.4466666666666668</v>
      </c>
    </row>
    <row r="17" spans="2:10" x14ac:dyDescent="0.25">
      <c r="B17" s="295"/>
      <c r="C17" s="291"/>
      <c r="D17" s="290"/>
      <c r="E17" s="295" t="s">
        <v>305</v>
      </c>
      <c r="F17" s="290">
        <v>13</v>
      </c>
      <c r="G17" s="290">
        <v>3</v>
      </c>
      <c r="H17" s="294">
        <f t="shared" ref="H17:H23" si="1">(F17*G17)/24</f>
        <v>1.625</v>
      </c>
      <c r="I17" s="290">
        <v>2</v>
      </c>
      <c r="J17" s="294">
        <f t="shared" ref="J17:J27" si="2">(I17-H17)</f>
        <v>0.375</v>
      </c>
    </row>
    <row r="18" spans="2:10" x14ac:dyDescent="0.25">
      <c r="B18" s="295"/>
      <c r="C18" s="291"/>
      <c r="D18" s="290"/>
      <c r="E18" s="295" t="s">
        <v>51</v>
      </c>
      <c r="F18" s="290">
        <v>13</v>
      </c>
      <c r="G18" s="290">
        <v>6</v>
      </c>
      <c r="H18" s="294">
        <f t="shared" si="1"/>
        <v>3.25</v>
      </c>
      <c r="I18" s="290">
        <v>3</v>
      </c>
      <c r="J18" s="294">
        <f t="shared" si="2"/>
        <v>-0.25</v>
      </c>
    </row>
    <row r="19" spans="2:10" x14ac:dyDescent="0.25">
      <c r="B19" s="295"/>
      <c r="C19" s="291"/>
      <c r="D19" s="290"/>
      <c r="E19" s="295" t="s">
        <v>491</v>
      </c>
      <c r="F19" s="290">
        <v>13</v>
      </c>
      <c r="G19" s="290">
        <v>5</v>
      </c>
      <c r="H19" s="294">
        <f t="shared" si="1"/>
        <v>2.7083333333333335</v>
      </c>
      <c r="I19" s="290">
        <v>1</v>
      </c>
      <c r="J19" s="294">
        <f t="shared" si="2"/>
        <v>-1.7083333333333335</v>
      </c>
    </row>
    <row r="20" spans="2:10" x14ac:dyDescent="0.25">
      <c r="B20" s="295"/>
      <c r="C20" s="291"/>
      <c r="D20" s="290"/>
      <c r="E20" s="295" t="s">
        <v>389</v>
      </c>
      <c r="F20" s="290">
        <v>13</v>
      </c>
      <c r="G20" s="290">
        <v>5</v>
      </c>
      <c r="H20" s="294">
        <f t="shared" si="1"/>
        <v>2.7083333333333335</v>
      </c>
      <c r="I20" s="290">
        <v>2</v>
      </c>
      <c r="J20" s="294">
        <f t="shared" si="2"/>
        <v>-0.70833333333333348</v>
      </c>
    </row>
    <row r="21" spans="2:10" x14ac:dyDescent="0.25">
      <c r="B21" s="295"/>
      <c r="C21" s="291"/>
      <c r="D21" s="290"/>
      <c r="E21" s="295" t="s">
        <v>390</v>
      </c>
      <c r="F21" s="290">
        <v>13</v>
      </c>
      <c r="G21" s="290">
        <v>4</v>
      </c>
      <c r="H21" s="294">
        <f t="shared" si="1"/>
        <v>2.1666666666666665</v>
      </c>
      <c r="I21" s="290">
        <v>3</v>
      </c>
      <c r="J21" s="294">
        <f t="shared" si="2"/>
        <v>0.83333333333333348</v>
      </c>
    </row>
    <row r="22" spans="2:10" x14ac:dyDescent="0.25">
      <c r="B22" s="295"/>
      <c r="C22" s="291"/>
      <c r="D22" s="290"/>
      <c r="E22" s="295" t="s">
        <v>59</v>
      </c>
      <c r="F22" s="296">
        <v>13</v>
      </c>
      <c r="G22" s="290">
        <v>4</v>
      </c>
      <c r="H22" s="294">
        <f t="shared" si="1"/>
        <v>2.1666666666666665</v>
      </c>
      <c r="I22" s="290">
        <v>2</v>
      </c>
      <c r="J22" s="294">
        <f t="shared" si="2"/>
        <v>-0.16666666666666652</v>
      </c>
    </row>
    <row r="23" spans="2:10" x14ac:dyDescent="0.25">
      <c r="B23" s="295"/>
      <c r="C23" s="291"/>
      <c r="D23" s="290"/>
      <c r="E23" s="295" t="s">
        <v>527</v>
      </c>
      <c r="F23" s="297">
        <v>13</v>
      </c>
      <c r="G23" s="290">
        <v>3</v>
      </c>
      <c r="H23" s="294">
        <f t="shared" si="1"/>
        <v>1.625</v>
      </c>
      <c r="I23" s="290">
        <v>1</v>
      </c>
      <c r="J23" s="294">
        <f t="shared" si="2"/>
        <v>-0.625</v>
      </c>
    </row>
    <row r="24" spans="2:10" x14ac:dyDescent="0.25">
      <c r="B24" s="295"/>
      <c r="C24" s="291"/>
      <c r="D24" s="290"/>
      <c r="E24" s="295" t="s">
        <v>89</v>
      </c>
      <c r="F24" s="298">
        <v>13</v>
      </c>
      <c r="G24" s="290">
        <v>3</v>
      </c>
      <c r="H24" s="294">
        <f>(F24*G24)/24</f>
        <v>1.625</v>
      </c>
      <c r="I24" s="290">
        <v>1</v>
      </c>
      <c r="J24" s="294">
        <f t="shared" si="2"/>
        <v>-0.625</v>
      </c>
    </row>
    <row r="25" spans="2:10" x14ac:dyDescent="0.25">
      <c r="B25" s="295"/>
      <c r="C25" s="291"/>
      <c r="D25" s="290"/>
      <c r="E25" s="295" t="s">
        <v>537</v>
      </c>
      <c r="F25" s="290">
        <v>13</v>
      </c>
      <c r="G25" s="290">
        <v>1</v>
      </c>
      <c r="H25" s="294">
        <f>D11/150</f>
        <v>2.4466666666666668</v>
      </c>
      <c r="I25" s="290">
        <v>0</v>
      </c>
      <c r="J25" s="294">
        <f t="shared" si="2"/>
        <v>-2.4466666666666668</v>
      </c>
    </row>
    <row r="26" spans="2:10" x14ac:dyDescent="0.25">
      <c r="B26" s="295"/>
      <c r="C26" s="291"/>
      <c r="D26" s="290"/>
      <c r="E26" s="293" t="s">
        <v>583</v>
      </c>
      <c r="F26" s="290">
        <v>13</v>
      </c>
      <c r="G26" s="296">
        <v>2</v>
      </c>
      <c r="H26" s="294">
        <f>(F26*G26)/24</f>
        <v>1.0833333333333333</v>
      </c>
      <c r="I26" s="290">
        <v>1</v>
      </c>
      <c r="J26" s="294">
        <f t="shared" si="2"/>
        <v>-8.3333333333333259E-2</v>
      </c>
    </row>
    <row r="27" spans="2:10" x14ac:dyDescent="0.25">
      <c r="B27" s="295"/>
      <c r="C27" s="291"/>
      <c r="D27" s="290"/>
      <c r="E27" s="293" t="s">
        <v>395</v>
      </c>
      <c r="F27" s="299">
        <v>13</v>
      </c>
      <c r="G27" s="297">
        <v>0</v>
      </c>
      <c r="H27" s="300">
        <f>(F27*G27)/24</f>
        <v>0</v>
      </c>
      <c r="I27" s="290">
        <v>0</v>
      </c>
      <c r="J27" s="294">
        <f t="shared" si="2"/>
        <v>0</v>
      </c>
    </row>
    <row r="28" spans="2:10" x14ac:dyDescent="0.25">
      <c r="B28" s="301"/>
      <c r="C28" s="302"/>
      <c r="D28" s="297"/>
      <c r="E28" s="303"/>
      <c r="F28" s="298"/>
      <c r="G28" s="298"/>
      <c r="H28" s="304"/>
      <c r="I28" s="298"/>
      <c r="J28" s="304"/>
    </row>
    <row r="29" spans="2:10" x14ac:dyDescent="0.2">
      <c r="B29" s="282"/>
      <c r="C29" s="282"/>
      <c r="D29" s="283"/>
      <c r="E29" s="282"/>
      <c r="F29" s="283"/>
      <c r="G29" s="283"/>
      <c r="H29" s="283"/>
      <c r="I29" s="283"/>
      <c r="J29" s="283"/>
    </row>
    <row r="30" spans="2:10" x14ac:dyDescent="0.25">
      <c r="B30" s="243" t="s">
        <v>584</v>
      </c>
      <c r="C30" s="243"/>
      <c r="D30" s="243"/>
      <c r="E30" s="243"/>
      <c r="F30" s="243"/>
      <c r="G30" s="130"/>
      <c r="H30" s="388" t="str">
        <f>'Kepala Sekolah'!K12</f>
        <v>Demak, Agustus 2025</v>
      </c>
      <c r="I30" s="388"/>
      <c r="J30" s="243"/>
    </row>
    <row r="31" spans="2:10" x14ac:dyDescent="0.25">
      <c r="B31" s="284" t="s">
        <v>585</v>
      </c>
      <c r="C31" s="284"/>
      <c r="D31" s="130"/>
      <c r="E31" s="243"/>
      <c r="F31" s="243"/>
      <c r="G31" s="130"/>
      <c r="H31" s="388" t="str">
        <f>'Kepala Sekolah'!K13</f>
        <v>Kepala SMP Negeri 2 Karangtengah</v>
      </c>
      <c r="I31" s="388"/>
      <c r="J31" s="243"/>
    </row>
    <row r="32" spans="2:10" x14ac:dyDescent="0.25">
      <c r="B32" s="284" t="s">
        <v>586</v>
      </c>
      <c r="C32" s="284"/>
      <c r="D32" s="130"/>
      <c r="E32" s="243"/>
      <c r="F32" s="243"/>
      <c r="G32" s="243"/>
      <c r="H32" s="346" t="s">
        <v>444</v>
      </c>
      <c r="I32" s="346"/>
      <c r="J32" s="243"/>
    </row>
    <row r="33" spans="2:10" x14ac:dyDescent="0.25">
      <c r="B33" s="284" t="s">
        <v>587</v>
      </c>
      <c r="C33" s="284"/>
      <c r="D33" s="130"/>
      <c r="E33" s="243"/>
      <c r="F33" s="243"/>
      <c r="G33" s="285"/>
      <c r="H33" s="226"/>
      <c r="J33" s="130"/>
    </row>
    <row r="34" spans="2:10" x14ac:dyDescent="0.2">
      <c r="B34" s="284" t="s">
        <v>588</v>
      </c>
      <c r="C34" s="284"/>
      <c r="D34" s="284"/>
      <c r="E34" s="243"/>
      <c r="F34" s="243"/>
      <c r="G34" s="243"/>
      <c r="H34" s="226"/>
      <c r="J34" s="256"/>
    </row>
    <row r="35" spans="2:10" x14ac:dyDescent="0.25">
      <c r="B35" s="284" t="s">
        <v>589</v>
      </c>
      <c r="C35" s="284"/>
      <c r="D35" s="284"/>
      <c r="E35" s="243"/>
      <c r="F35" s="243"/>
      <c r="G35" s="130"/>
      <c r="H35" s="347" t="s">
        <v>138</v>
      </c>
      <c r="I35" s="347"/>
      <c r="J35" s="243"/>
    </row>
    <row r="36" spans="2:10" x14ac:dyDescent="0.25">
      <c r="B36" s="130"/>
      <c r="C36" s="130"/>
      <c r="D36" s="284"/>
      <c r="E36" s="130"/>
      <c r="F36" s="130"/>
      <c r="G36" s="130"/>
      <c r="H36" s="346" t="s">
        <v>106</v>
      </c>
      <c r="I36" s="346"/>
      <c r="J36" s="130"/>
    </row>
  </sheetData>
  <mergeCells count="18">
    <mergeCell ref="I1:J1"/>
    <mergeCell ref="B2:J2"/>
    <mergeCell ref="B3:J3"/>
    <mergeCell ref="B4:J4"/>
    <mergeCell ref="B6:B8"/>
    <mergeCell ref="C6:C8"/>
    <mergeCell ref="D6:D8"/>
    <mergeCell ref="E6:E8"/>
    <mergeCell ref="F6:F8"/>
    <mergeCell ref="G6:G8"/>
    <mergeCell ref="H35:I35"/>
    <mergeCell ref="H36:I36"/>
    <mergeCell ref="H6:H7"/>
    <mergeCell ref="I6:I8"/>
    <mergeCell ref="J6:J8"/>
    <mergeCell ref="H30:I30"/>
    <mergeCell ref="H31:I31"/>
    <mergeCell ref="H32:I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4"/>
  <sheetViews>
    <sheetView view="pageBreakPreview" zoomScale="60" zoomScaleNormal="70" workbookViewId="0">
      <pane xSplit="2" ySplit="11" topLeftCell="C21" activePane="bottomRight" state="frozen"/>
      <selection pane="topRight" activeCell="C1" sqref="C1"/>
      <selection pane="bottomLeft" activeCell="A8" sqref="A8"/>
      <selection pane="bottomRight" activeCell="R35" sqref="R35:U35"/>
    </sheetView>
  </sheetViews>
  <sheetFormatPr defaultColWidth="14.42578125" defaultRowHeight="15" customHeight="1" x14ac:dyDescent="0.25"/>
  <cols>
    <col min="1" max="1" width="5.140625" customWidth="1"/>
    <col min="2" max="2" width="45.140625" customWidth="1"/>
    <col min="3" max="3" width="30.140625" customWidth="1"/>
    <col min="4" max="5" width="25.7109375" customWidth="1"/>
    <col min="6" max="6" width="26.85546875" customWidth="1"/>
    <col min="7" max="7" width="25.7109375" customWidth="1"/>
    <col min="8" max="13" width="8.42578125" bestFit="1" customWidth="1"/>
    <col min="14" max="14" width="7.28515625" bestFit="1" customWidth="1"/>
    <col min="15" max="15" width="30.42578125" customWidth="1"/>
    <col min="16" max="17" width="12.7109375" customWidth="1"/>
    <col min="18" max="21" width="10.7109375" customWidth="1"/>
    <col min="22" max="23" width="9.140625" customWidth="1"/>
    <col min="24" max="24" width="33.28515625" bestFit="1" customWidth="1"/>
    <col min="25" max="25" width="21.28515625" customWidth="1"/>
    <col min="26" max="26" width="15.7109375" customWidth="1"/>
    <col min="27" max="27" width="9.140625" customWidth="1"/>
  </cols>
  <sheetData>
    <row r="1" spans="1:27" ht="18" x14ac:dyDescent="0.25">
      <c r="A1" s="415" t="s">
        <v>609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5"/>
      <c r="O1" s="415"/>
      <c r="P1" s="415"/>
      <c r="Q1" s="415"/>
      <c r="R1" s="415"/>
      <c r="S1" s="415"/>
      <c r="T1" s="415"/>
      <c r="U1" s="415"/>
    </row>
    <row r="2" spans="1:27" ht="18" x14ac:dyDescent="0.25">
      <c r="A2" s="415" t="str">
        <f>GTT!A3</f>
        <v>UNIT KERJA : SMP NEGERI 2 KARANGTENGAH</v>
      </c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5"/>
      <c r="U2" s="415"/>
    </row>
    <row r="3" spans="1:27" ht="18" x14ac:dyDescent="0.25">
      <c r="A3" s="415" t="str">
        <f>GTT!A4</f>
        <v>PER : 1 Agustus 2025</v>
      </c>
      <c r="B3" s="415"/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</row>
    <row r="5" spans="1:27" ht="15.75" x14ac:dyDescent="0.25">
      <c r="A5" s="1" t="s">
        <v>0</v>
      </c>
      <c r="B5" s="2"/>
      <c r="C5" s="1" t="s">
        <v>1</v>
      </c>
      <c r="D5" s="1"/>
      <c r="E5" s="1"/>
      <c r="F5" s="1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7" ht="15.75" x14ac:dyDescent="0.25">
      <c r="A6" s="1" t="s">
        <v>2</v>
      </c>
      <c r="B6" s="2"/>
      <c r="C6" s="1" t="s">
        <v>3</v>
      </c>
      <c r="D6" s="1"/>
      <c r="E6" s="1"/>
      <c r="F6" s="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7" ht="15.75" x14ac:dyDescent="0.25">
      <c r="A7" s="1" t="s">
        <v>4</v>
      </c>
      <c r="B7" s="2"/>
      <c r="C7" s="1" t="s">
        <v>5</v>
      </c>
      <c r="D7" s="1"/>
      <c r="E7" s="1"/>
      <c r="F7" s="1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7" ht="15.75" x14ac:dyDescent="0.25">
      <c r="A8" s="1" t="s">
        <v>6</v>
      </c>
      <c r="B8" s="2"/>
      <c r="C8" s="1" t="s">
        <v>7</v>
      </c>
      <c r="D8" s="1"/>
      <c r="E8" s="1"/>
      <c r="F8" s="1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7" ht="15.75" x14ac:dyDescent="0.25">
      <c r="A9" s="3"/>
      <c r="B9" s="3"/>
      <c r="C9" s="3"/>
      <c r="D9" s="1"/>
      <c r="E9" s="1"/>
      <c r="F9" s="1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25">
      <c r="A10" s="407" t="s">
        <v>8</v>
      </c>
      <c r="B10" s="407" t="s">
        <v>9</v>
      </c>
      <c r="C10" s="407" t="s">
        <v>10</v>
      </c>
      <c r="D10" s="405" t="s">
        <v>11</v>
      </c>
      <c r="E10" s="405" t="s">
        <v>12</v>
      </c>
      <c r="F10" s="405" t="s">
        <v>13</v>
      </c>
      <c r="G10" s="405" t="s">
        <v>14</v>
      </c>
      <c r="H10" s="408" t="s">
        <v>15</v>
      </c>
      <c r="I10" s="409"/>
      <c r="J10" s="410"/>
      <c r="K10" s="408" t="s">
        <v>16</v>
      </c>
      <c r="L10" s="409"/>
      <c r="M10" s="410"/>
      <c r="N10" s="405" t="s">
        <v>17</v>
      </c>
      <c r="O10" s="405" t="s">
        <v>18</v>
      </c>
      <c r="P10" s="405" t="s">
        <v>19</v>
      </c>
      <c r="Q10" s="405" t="s">
        <v>20</v>
      </c>
      <c r="R10" s="405" t="s">
        <v>21</v>
      </c>
      <c r="S10" s="405" t="s">
        <v>22</v>
      </c>
      <c r="T10" s="405" t="s">
        <v>23</v>
      </c>
      <c r="U10" s="405" t="s">
        <v>24</v>
      </c>
      <c r="V10" s="3"/>
      <c r="W10" s="3"/>
      <c r="X10" s="3"/>
      <c r="Y10" s="3"/>
      <c r="Z10" s="3"/>
      <c r="AA10" s="5"/>
    </row>
    <row r="11" spans="1:27" ht="33" customHeight="1" x14ac:dyDescent="0.25">
      <c r="A11" s="396"/>
      <c r="B11" s="396"/>
      <c r="C11" s="396"/>
      <c r="D11" s="396"/>
      <c r="E11" s="396"/>
      <c r="F11" s="396"/>
      <c r="G11" s="396"/>
      <c r="H11" s="64" t="s">
        <v>25</v>
      </c>
      <c r="I11" s="64" t="s">
        <v>26</v>
      </c>
      <c r="J11" s="64" t="s">
        <v>27</v>
      </c>
      <c r="K11" s="64" t="s">
        <v>25</v>
      </c>
      <c r="L11" s="64" t="s">
        <v>26</v>
      </c>
      <c r="M11" s="64" t="s">
        <v>27</v>
      </c>
      <c r="N11" s="396"/>
      <c r="O11" s="396"/>
      <c r="P11" s="396"/>
      <c r="Q11" s="396"/>
      <c r="R11" s="396"/>
      <c r="S11" s="396"/>
      <c r="T11" s="406"/>
      <c r="U11" s="396"/>
      <c r="V11" s="3"/>
      <c r="W11" s="3"/>
      <c r="X11" s="3"/>
      <c r="Y11" s="3"/>
      <c r="Z11" s="3"/>
      <c r="AA11" s="3"/>
    </row>
    <row r="12" spans="1:27" ht="37.5" customHeight="1" x14ac:dyDescent="0.25">
      <c r="A12" s="395">
        <v>1</v>
      </c>
      <c r="B12" s="6" t="s">
        <v>28</v>
      </c>
      <c r="C12" s="66" t="s">
        <v>29</v>
      </c>
      <c r="D12" s="7" t="s">
        <v>52</v>
      </c>
      <c r="E12" s="7" t="s">
        <v>41</v>
      </c>
      <c r="F12" s="7" t="s">
        <v>32</v>
      </c>
      <c r="G12" s="411" t="s">
        <v>242</v>
      </c>
      <c r="H12" s="12">
        <v>4</v>
      </c>
      <c r="I12" s="12">
        <v>4</v>
      </c>
      <c r="J12" s="12">
        <v>2</v>
      </c>
      <c r="K12" s="12">
        <v>12</v>
      </c>
      <c r="L12" s="12">
        <v>12</v>
      </c>
      <c r="M12" s="12">
        <v>9</v>
      </c>
      <c r="N12" s="399">
        <f>SUM(H12:J13)*3</f>
        <v>69</v>
      </c>
      <c r="O12" s="61" t="s">
        <v>90</v>
      </c>
      <c r="P12" s="63">
        <v>2</v>
      </c>
      <c r="Q12" s="63">
        <v>2</v>
      </c>
      <c r="R12" s="395">
        <f>SUM(N12:Q13)</f>
        <v>77</v>
      </c>
      <c r="S12" s="397">
        <f>R12/24</f>
        <v>3.2083333333333335</v>
      </c>
      <c r="T12" s="399">
        <v>2</v>
      </c>
      <c r="U12" s="397">
        <f>T12-S12</f>
        <v>-1.2083333333333335</v>
      </c>
      <c r="V12" s="3"/>
      <c r="W12" s="3"/>
      <c r="X12" s="3"/>
      <c r="Y12" s="3"/>
      <c r="Z12" s="3"/>
      <c r="AA12" s="3"/>
    </row>
    <row r="13" spans="1:27" ht="48.75" customHeight="1" x14ac:dyDescent="0.25">
      <c r="A13" s="396"/>
      <c r="B13" s="8" t="s">
        <v>33</v>
      </c>
      <c r="C13" s="9" t="s">
        <v>34</v>
      </c>
      <c r="D13" s="10" t="s">
        <v>34</v>
      </c>
      <c r="E13" s="10" t="s">
        <v>34</v>
      </c>
      <c r="F13" s="17" t="s">
        <v>35</v>
      </c>
      <c r="G13" s="396"/>
      <c r="H13" s="12">
        <v>4</v>
      </c>
      <c r="I13" s="12">
        <v>4</v>
      </c>
      <c r="J13" s="12">
        <v>5</v>
      </c>
      <c r="K13" s="12">
        <v>4</v>
      </c>
      <c r="L13" s="12">
        <v>4</v>
      </c>
      <c r="M13" s="12">
        <v>14</v>
      </c>
      <c r="N13" s="396"/>
      <c r="O13" s="61" t="s">
        <v>257</v>
      </c>
      <c r="P13" s="12">
        <v>2</v>
      </c>
      <c r="Q13" s="12">
        <v>2</v>
      </c>
      <c r="R13" s="396"/>
      <c r="S13" s="398"/>
      <c r="T13" s="396"/>
      <c r="U13" s="398"/>
      <c r="V13" s="3"/>
      <c r="W13" s="3"/>
      <c r="X13" s="13" t="s">
        <v>36</v>
      </c>
      <c r="Y13" s="13" t="s">
        <v>37</v>
      </c>
      <c r="Z13" s="3"/>
      <c r="AA13" s="3"/>
    </row>
    <row r="14" spans="1:27" ht="99" customHeight="1" x14ac:dyDescent="0.25">
      <c r="A14" s="395">
        <v>2</v>
      </c>
      <c r="B14" s="8" t="s">
        <v>38</v>
      </c>
      <c r="C14" s="67" t="s">
        <v>39</v>
      </c>
      <c r="D14" s="7" t="s">
        <v>49</v>
      </c>
      <c r="E14" s="7" t="s">
        <v>50</v>
      </c>
      <c r="F14" s="7" t="s">
        <v>32</v>
      </c>
      <c r="G14" s="411" t="s">
        <v>42</v>
      </c>
      <c r="H14" s="12">
        <v>2</v>
      </c>
      <c r="I14" s="12">
        <v>1</v>
      </c>
      <c r="J14" s="12">
        <v>5</v>
      </c>
      <c r="K14" s="12">
        <v>9</v>
      </c>
      <c r="L14" s="12">
        <v>3</v>
      </c>
      <c r="M14" s="12">
        <v>15</v>
      </c>
      <c r="N14" s="395">
        <f>SUM(H14:J15)*3</f>
        <v>39</v>
      </c>
      <c r="O14" s="61" t="s">
        <v>247</v>
      </c>
      <c r="P14" s="12">
        <v>1</v>
      </c>
      <c r="Q14" s="12">
        <v>11</v>
      </c>
      <c r="R14" s="395">
        <f>SUM(N14:Q15)</f>
        <v>69</v>
      </c>
      <c r="S14" s="397">
        <f>R14/24</f>
        <v>2.875</v>
      </c>
      <c r="T14" s="399">
        <v>2</v>
      </c>
      <c r="U14" s="397">
        <f>T14-S14</f>
        <v>-0.875</v>
      </c>
      <c r="V14" s="3"/>
      <c r="W14" s="3"/>
      <c r="X14" s="14" t="s">
        <v>43</v>
      </c>
      <c r="Y14" s="395">
        <v>8</v>
      </c>
      <c r="Z14" s="3"/>
      <c r="AA14" s="3"/>
    </row>
    <row r="15" spans="1:27" ht="94.5" customHeight="1" x14ac:dyDescent="0.25">
      <c r="A15" s="396"/>
      <c r="B15" s="8" t="s">
        <v>44</v>
      </c>
      <c r="C15" s="67" t="s">
        <v>45</v>
      </c>
      <c r="D15" s="7" t="s">
        <v>46</v>
      </c>
      <c r="E15" s="7" t="s">
        <v>31</v>
      </c>
      <c r="F15" s="7" t="s">
        <v>32</v>
      </c>
      <c r="G15" s="396"/>
      <c r="H15" s="12">
        <v>2</v>
      </c>
      <c r="I15" s="12">
        <v>3</v>
      </c>
      <c r="J15" s="12"/>
      <c r="K15" s="12">
        <v>9</v>
      </c>
      <c r="L15" s="12">
        <v>15</v>
      </c>
      <c r="M15" s="12"/>
      <c r="N15" s="396"/>
      <c r="O15" s="61" t="s">
        <v>252</v>
      </c>
      <c r="P15" s="12">
        <v>4</v>
      </c>
      <c r="Q15" s="12">
        <v>14</v>
      </c>
      <c r="R15" s="396"/>
      <c r="S15" s="398"/>
      <c r="T15" s="396"/>
      <c r="U15" s="398"/>
      <c r="V15" s="3"/>
      <c r="W15" s="3"/>
      <c r="X15" s="14" t="s">
        <v>30</v>
      </c>
      <c r="Y15" s="396"/>
      <c r="Z15" s="3"/>
      <c r="AA15" s="3"/>
    </row>
    <row r="16" spans="1:27" ht="30" customHeight="1" x14ac:dyDescent="0.25">
      <c r="A16" s="395">
        <v>3</v>
      </c>
      <c r="B16" s="8" t="s">
        <v>47</v>
      </c>
      <c r="C16" s="67" t="s">
        <v>48</v>
      </c>
      <c r="D16" s="7" t="s">
        <v>49</v>
      </c>
      <c r="E16" s="7" t="s">
        <v>50</v>
      </c>
      <c r="F16" s="7" t="s">
        <v>32</v>
      </c>
      <c r="G16" s="411" t="s">
        <v>51</v>
      </c>
      <c r="H16" s="12">
        <v>4</v>
      </c>
      <c r="I16" s="12"/>
      <c r="J16" s="12"/>
      <c r="K16" s="12">
        <v>24</v>
      </c>
      <c r="L16" s="12"/>
      <c r="M16" s="12"/>
      <c r="N16" s="395">
        <f>SUM(H16:J18)*3</f>
        <v>51</v>
      </c>
      <c r="O16" s="61" t="s">
        <v>90</v>
      </c>
      <c r="P16" s="12">
        <v>2</v>
      </c>
      <c r="Q16" s="12">
        <v>2</v>
      </c>
      <c r="R16" s="395">
        <f>SUM(N16:Q18)</f>
        <v>63</v>
      </c>
      <c r="S16" s="397">
        <f>R16/24</f>
        <v>2.625</v>
      </c>
      <c r="T16" s="399">
        <v>3</v>
      </c>
      <c r="U16" s="397">
        <f>T16-S16</f>
        <v>0.375</v>
      </c>
      <c r="V16" s="3"/>
      <c r="W16" s="3"/>
      <c r="X16" s="14" t="s">
        <v>52</v>
      </c>
      <c r="Y16" s="395">
        <v>9</v>
      </c>
      <c r="Z16" s="3"/>
      <c r="AA16" s="3"/>
    </row>
    <row r="17" spans="1:27" ht="30" customHeight="1" x14ac:dyDescent="0.25">
      <c r="A17" s="400"/>
      <c r="B17" s="8" t="s">
        <v>53</v>
      </c>
      <c r="C17" s="67" t="s">
        <v>54</v>
      </c>
      <c r="D17" s="7" t="s">
        <v>40</v>
      </c>
      <c r="E17" s="7" t="s">
        <v>41</v>
      </c>
      <c r="F17" s="7" t="s">
        <v>32</v>
      </c>
      <c r="G17" s="400"/>
      <c r="H17" s="12"/>
      <c r="I17" s="12">
        <v>4</v>
      </c>
      <c r="J17" s="12">
        <v>5</v>
      </c>
      <c r="K17" s="12"/>
      <c r="L17" s="12">
        <v>18</v>
      </c>
      <c r="M17" s="12">
        <v>12</v>
      </c>
      <c r="N17" s="400"/>
      <c r="O17" s="61" t="s">
        <v>90</v>
      </c>
      <c r="P17" s="12">
        <v>2</v>
      </c>
      <c r="Q17" s="12">
        <v>2</v>
      </c>
      <c r="R17" s="400"/>
      <c r="S17" s="401"/>
      <c r="T17" s="400"/>
      <c r="U17" s="401"/>
      <c r="V17" s="3"/>
      <c r="W17" s="3"/>
      <c r="X17" s="14" t="s">
        <v>40</v>
      </c>
      <c r="Y17" s="396"/>
      <c r="Z17" s="3"/>
      <c r="AA17" s="3"/>
    </row>
    <row r="18" spans="1:27" ht="30" customHeight="1" x14ac:dyDescent="0.25">
      <c r="A18" s="396"/>
      <c r="B18" s="8" t="s">
        <v>55</v>
      </c>
      <c r="C18" s="67" t="s">
        <v>56</v>
      </c>
      <c r="D18" s="7" t="s">
        <v>46</v>
      </c>
      <c r="E18" s="7" t="s">
        <v>31</v>
      </c>
      <c r="F18" s="7" t="s">
        <v>32</v>
      </c>
      <c r="G18" s="396"/>
      <c r="H18" s="12"/>
      <c r="I18" s="12">
        <v>1</v>
      </c>
      <c r="J18" s="12">
        <v>3</v>
      </c>
      <c r="K18" s="12"/>
      <c r="L18" s="12">
        <v>6</v>
      </c>
      <c r="M18" s="12">
        <v>18</v>
      </c>
      <c r="N18" s="396"/>
      <c r="O18" s="61" t="s">
        <v>257</v>
      </c>
      <c r="P18" s="12">
        <v>2</v>
      </c>
      <c r="Q18" s="12">
        <v>2</v>
      </c>
      <c r="R18" s="396"/>
      <c r="S18" s="398"/>
      <c r="T18" s="396"/>
      <c r="U18" s="398"/>
      <c r="V18" s="3"/>
      <c r="W18" s="3"/>
      <c r="X18" s="14" t="s">
        <v>49</v>
      </c>
      <c r="Y18" s="395">
        <v>11</v>
      </c>
      <c r="Z18" s="3"/>
      <c r="AA18" s="3"/>
    </row>
    <row r="19" spans="1:27" ht="30" x14ac:dyDescent="0.25">
      <c r="A19" s="395">
        <v>4</v>
      </c>
      <c r="B19" s="8" t="s">
        <v>57</v>
      </c>
      <c r="C19" s="67" t="s">
        <v>58</v>
      </c>
      <c r="D19" s="7" t="s">
        <v>49</v>
      </c>
      <c r="E19" s="7" t="s">
        <v>50</v>
      </c>
      <c r="F19" s="7" t="s">
        <v>32</v>
      </c>
      <c r="G19" s="412" t="s">
        <v>59</v>
      </c>
      <c r="H19" s="12"/>
      <c r="I19" s="12">
        <v>4</v>
      </c>
      <c r="J19" s="12">
        <v>3</v>
      </c>
      <c r="K19" s="12"/>
      <c r="L19" s="12">
        <v>16</v>
      </c>
      <c r="M19" s="12">
        <v>12</v>
      </c>
      <c r="N19" s="395">
        <f>SUM(H19:J20)*3</f>
        <v>39</v>
      </c>
      <c r="O19" s="61" t="s">
        <v>596</v>
      </c>
      <c r="P19" s="12">
        <v>2</v>
      </c>
      <c r="Q19" s="12">
        <v>2</v>
      </c>
      <c r="R19" s="395">
        <f>SUM(N19:Q20)</f>
        <v>47</v>
      </c>
      <c r="S19" s="397">
        <f>R19/24</f>
        <v>1.9583333333333333</v>
      </c>
      <c r="T19" s="399">
        <v>2</v>
      </c>
      <c r="U19" s="397">
        <f>T19-S19</f>
        <v>4.1666666666666741E-2</v>
      </c>
      <c r="V19" s="3"/>
      <c r="W19" s="3"/>
      <c r="X19" s="14" t="s">
        <v>60</v>
      </c>
      <c r="Y19" s="400"/>
      <c r="Z19" s="3"/>
      <c r="AA19" s="3"/>
    </row>
    <row r="20" spans="1:27" ht="30" customHeight="1" x14ac:dyDescent="0.25">
      <c r="A20" s="396"/>
      <c r="B20" s="8" t="s">
        <v>61</v>
      </c>
      <c r="C20" s="67" t="s">
        <v>62</v>
      </c>
      <c r="D20" s="7" t="s">
        <v>30</v>
      </c>
      <c r="E20" s="7" t="s">
        <v>31</v>
      </c>
      <c r="F20" s="7" t="s">
        <v>32</v>
      </c>
      <c r="G20" s="396"/>
      <c r="H20" s="12">
        <v>4</v>
      </c>
      <c r="I20" s="12"/>
      <c r="J20" s="12">
        <v>2</v>
      </c>
      <c r="K20" s="12">
        <v>16</v>
      </c>
      <c r="L20" s="12"/>
      <c r="M20" s="12">
        <v>8</v>
      </c>
      <c r="N20" s="396"/>
      <c r="O20" s="61" t="s">
        <v>243</v>
      </c>
      <c r="P20" s="12">
        <v>2</v>
      </c>
      <c r="Q20" s="12">
        <v>2</v>
      </c>
      <c r="R20" s="396"/>
      <c r="S20" s="398"/>
      <c r="T20" s="396"/>
      <c r="U20" s="398"/>
      <c r="V20" s="3"/>
      <c r="W20" s="3"/>
      <c r="X20" s="14" t="s">
        <v>63</v>
      </c>
      <c r="Y20" s="396"/>
      <c r="Z20" s="3"/>
      <c r="AA20" s="3"/>
    </row>
    <row r="21" spans="1:27" ht="30" customHeight="1" x14ac:dyDescent="0.25">
      <c r="A21" s="395">
        <v>5</v>
      </c>
      <c r="B21" s="8" t="s">
        <v>64</v>
      </c>
      <c r="C21" s="67" t="s">
        <v>65</v>
      </c>
      <c r="D21" s="7" t="s">
        <v>63</v>
      </c>
      <c r="E21" s="7" t="s">
        <v>50</v>
      </c>
      <c r="F21" s="7" t="s">
        <v>32</v>
      </c>
      <c r="G21" s="412" t="s">
        <v>66</v>
      </c>
      <c r="H21" s="12">
        <v>2</v>
      </c>
      <c r="I21" s="12">
        <v>1</v>
      </c>
      <c r="J21" s="12">
        <v>4</v>
      </c>
      <c r="K21" s="12">
        <v>10</v>
      </c>
      <c r="L21" s="12">
        <v>5</v>
      </c>
      <c r="M21" s="12">
        <v>20</v>
      </c>
      <c r="N21" s="395">
        <f>SUM(H21:J22)*3</f>
        <v>39</v>
      </c>
      <c r="O21" s="61" t="s">
        <v>244</v>
      </c>
      <c r="P21" s="12">
        <v>1</v>
      </c>
      <c r="Q21" s="62">
        <v>1</v>
      </c>
      <c r="R21" s="395">
        <f>SUM(N21:Q22)</f>
        <v>45</v>
      </c>
      <c r="S21" s="397">
        <f>R21/24</f>
        <v>1.875</v>
      </c>
      <c r="T21" s="399">
        <v>2</v>
      </c>
      <c r="U21" s="397">
        <f>T21-S21</f>
        <v>0.125</v>
      </c>
      <c r="V21" s="3"/>
      <c r="W21" s="3"/>
      <c r="X21" s="14" t="s">
        <v>67</v>
      </c>
      <c r="Y21" s="395">
        <v>12</v>
      </c>
      <c r="Z21" s="3"/>
      <c r="AA21" s="3"/>
    </row>
    <row r="22" spans="1:27" ht="30" customHeight="1" x14ac:dyDescent="0.25">
      <c r="A22" s="396"/>
      <c r="B22" s="8" t="s">
        <v>68</v>
      </c>
      <c r="C22" s="9" t="s">
        <v>34</v>
      </c>
      <c r="D22" s="10" t="s">
        <v>34</v>
      </c>
      <c r="E22" s="10" t="s">
        <v>34</v>
      </c>
      <c r="F22" s="17" t="s">
        <v>35</v>
      </c>
      <c r="G22" s="396"/>
      <c r="H22" s="12">
        <v>2</v>
      </c>
      <c r="I22" s="12">
        <v>3</v>
      </c>
      <c r="J22" s="12">
        <v>1</v>
      </c>
      <c r="K22" s="12">
        <v>10</v>
      </c>
      <c r="L22" s="12">
        <v>15</v>
      </c>
      <c r="M22" s="12">
        <v>5</v>
      </c>
      <c r="N22" s="396"/>
      <c r="O22" s="61" t="s">
        <v>243</v>
      </c>
      <c r="P22" s="12">
        <v>2</v>
      </c>
      <c r="Q22" s="62">
        <v>2</v>
      </c>
      <c r="R22" s="396"/>
      <c r="S22" s="398"/>
      <c r="T22" s="396"/>
      <c r="U22" s="398"/>
      <c r="V22" s="3"/>
      <c r="W22" s="3"/>
      <c r="X22" s="14" t="s">
        <v>69</v>
      </c>
      <c r="Y22" s="396"/>
      <c r="Z22" s="3"/>
      <c r="AA22" s="3"/>
    </row>
    <row r="23" spans="1:27" ht="30" x14ac:dyDescent="0.25">
      <c r="A23" s="395">
        <v>6</v>
      </c>
      <c r="B23" s="8" t="s">
        <v>70</v>
      </c>
      <c r="C23" s="67" t="s">
        <v>71</v>
      </c>
      <c r="D23" s="7" t="s">
        <v>40</v>
      </c>
      <c r="E23" s="7" t="s">
        <v>41</v>
      </c>
      <c r="F23" s="7" t="s">
        <v>32</v>
      </c>
      <c r="G23" s="411" t="s">
        <v>72</v>
      </c>
      <c r="H23" s="12">
        <v>2</v>
      </c>
      <c r="I23" s="12"/>
      <c r="J23" s="12">
        <v>5</v>
      </c>
      <c r="K23" s="12">
        <v>10</v>
      </c>
      <c r="L23" s="12"/>
      <c r="M23" s="12">
        <v>25</v>
      </c>
      <c r="N23" s="395">
        <f>SUM(H23:J24)*3</f>
        <v>39</v>
      </c>
      <c r="O23" s="61" t="s">
        <v>246</v>
      </c>
      <c r="P23" s="12">
        <v>2</v>
      </c>
      <c r="Q23" s="62">
        <v>3</v>
      </c>
      <c r="R23" s="395">
        <f>SUM(N23:Q24)</f>
        <v>49</v>
      </c>
      <c r="S23" s="397">
        <f>R23/24</f>
        <v>2.0416666666666665</v>
      </c>
      <c r="T23" s="399">
        <v>2</v>
      </c>
      <c r="U23" s="397">
        <f>T23-S23</f>
        <v>-4.1666666666666519E-2</v>
      </c>
      <c r="V23" s="3"/>
      <c r="W23" s="3"/>
      <c r="X23" s="3"/>
      <c r="Y23" s="3"/>
      <c r="Z23" s="3"/>
      <c r="AA23" s="3"/>
    </row>
    <row r="24" spans="1:27" ht="35.25" customHeight="1" x14ac:dyDescent="0.25">
      <c r="A24" s="396"/>
      <c r="B24" s="8" t="s">
        <v>73</v>
      </c>
      <c r="C24" s="67" t="s">
        <v>74</v>
      </c>
      <c r="D24" s="7" t="s">
        <v>75</v>
      </c>
      <c r="E24" s="7" t="s">
        <v>31</v>
      </c>
      <c r="F24" s="7" t="s">
        <v>32</v>
      </c>
      <c r="G24" s="396"/>
      <c r="H24" s="12">
        <v>2</v>
      </c>
      <c r="I24" s="12">
        <v>4</v>
      </c>
      <c r="J24" s="12"/>
      <c r="K24" s="12">
        <v>10</v>
      </c>
      <c r="L24" s="12">
        <v>20</v>
      </c>
      <c r="M24" s="12"/>
      <c r="N24" s="396"/>
      <c r="O24" s="61" t="s">
        <v>253</v>
      </c>
      <c r="P24" s="12">
        <v>2</v>
      </c>
      <c r="Q24" s="12">
        <v>3</v>
      </c>
      <c r="R24" s="396"/>
      <c r="S24" s="398"/>
      <c r="T24" s="396"/>
      <c r="U24" s="398"/>
      <c r="V24" s="3"/>
      <c r="W24" s="3"/>
      <c r="X24" s="3"/>
      <c r="Y24" s="3"/>
      <c r="Z24" s="3"/>
      <c r="AA24" s="3"/>
    </row>
    <row r="25" spans="1:27" ht="30" x14ac:dyDescent="0.25">
      <c r="A25" s="395">
        <v>7</v>
      </c>
      <c r="B25" s="8" t="s">
        <v>76</v>
      </c>
      <c r="C25" s="68" t="s">
        <v>77</v>
      </c>
      <c r="D25" s="7" t="s">
        <v>60</v>
      </c>
      <c r="E25" s="7" t="s">
        <v>50</v>
      </c>
      <c r="F25" s="7" t="s">
        <v>32</v>
      </c>
      <c r="G25" s="411" t="s">
        <v>78</v>
      </c>
      <c r="H25" s="12"/>
      <c r="I25" s="12"/>
      <c r="J25" s="12">
        <v>5</v>
      </c>
      <c r="K25" s="12"/>
      <c r="L25" s="12"/>
      <c r="M25" s="12">
        <v>20</v>
      </c>
      <c r="N25" s="395">
        <f>SUM(H25:J27)*3</f>
        <v>39</v>
      </c>
      <c r="O25" s="61" t="s">
        <v>245</v>
      </c>
      <c r="P25" s="12">
        <v>1</v>
      </c>
      <c r="Q25" s="12">
        <v>2</v>
      </c>
      <c r="R25" s="395">
        <f>SUM(N25:Q27)</f>
        <v>68</v>
      </c>
      <c r="S25" s="397">
        <f>R25/24</f>
        <v>2.8333333333333335</v>
      </c>
      <c r="T25" s="399">
        <v>3</v>
      </c>
      <c r="U25" s="397">
        <f>T25-S25</f>
        <v>0.16666666666666652</v>
      </c>
      <c r="V25" s="3"/>
      <c r="W25" s="3"/>
      <c r="X25" s="3"/>
      <c r="Y25" s="3"/>
      <c r="Z25" s="3"/>
      <c r="AA25" s="3"/>
    </row>
    <row r="26" spans="1:27" ht="30" x14ac:dyDescent="0.25">
      <c r="A26" s="400"/>
      <c r="B26" s="15" t="s">
        <v>79</v>
      </c>
      <c r="C26" s="69" t="s">
        <v>80</v>
      </c>
      <c r="D26" s="7" t="s">
        <v>30</v>
      </c>
      <c r="E26" s="16" t="s">
        <v>31</v>
      </c>
      <c r="F26" s="7" t="s">
        <v>32</v>
      </c>
      <c r="G26" s="400"/>
      <c r="H26" s="12">
        <v>2</v>
      </c>
      <c r="I26" s="12">
        <v>3</v>
      </c>
      <c r="J26" s="12"/>
      <c r="K26" s="12">
        <v>8</v>
      </c>
      <c r="L26" s="12">
        <v>12</v>
      </c>
      <c r="M26" s="12"/>
      <c r="N26" s="400"/>
      <c r="O26" s="61" t="s">
        <v>254</v>
      </c>
      <c r="P26" s="12">
        <v>3</v>
      </c>
      <c r="Q26" s="12">
        <v>4</v>
      </c>
      <c r="R26" s="400"/>
      <c r="S26" s="400"/>
      <c r="T26" s="400"/>
      <c r="U26" s="401"/>
      <c r="V26" s="3"/>
      <c r="W26" s="3">
        <f>SUM(K26:L26:Q26)</f>
        <v>27</v>
      </c>
      <c r="X26" s="3"/>
      <c r="Y26" s="3"/>
      <c r="Z26" s="3"/>
      <c r="AA26" s="3"/>
    </row>
    <row r="27" spans="1:27" ht="45" x14ac:dyDescent="0.25">
      <c r="A27" s="396"/>
      <c r="B27" s="15" t="s">
        <v>81</v>
      </c>
      <c r="C27" s="70" t="s">
        <v>82</v>
      </c>
      <c r="D27" s="7" t="s">
        <v>46</v>
      </c>
      <c r="E27" s="16" t="s">
        <v>31</v>
      </c>
      <c r="F27" s="7" t="s">
        <v>32</v>
      </c>
      <c r="G27" s="396"/>
      <c r="H27" s="12">
        <v>2</v>
      </c>
      <c r="I27" s="12">
        <v>1</v>
      </c>
      <c r="J27" s="12"/>
      <c r="K27" s="12">
        <v>8</v>
      </c>
      <c r="L27" s="12">
        <v>4</v>
      </c>
      <c r="M27" s="12"/>
      <c r="N27" s="396"/>
      <c r="O27" s="61" t="s">
        <v>251</v>
      </c>
      <c r="P27" s="12">
        <v>4</v>
      </c>
      <c r="Q27" s="12">
        <v>15</v>
      </c>
      <c r="R27" s="396"/>
      <c r="S27" s="396"/>
      <c r="T27" s="396"/>
      <c r="U27" s="398"/>
      <c r="V27" s="3"/>
      <c r="W27" s="3">
        <f>SUM(K27:L27,Q27)</f>
        <v>27</v>
      </c>
      <c r="X27" s="3"/>
      <c r="Y27" s="3"/>
      <c r="Z27" s="3"/>
      <c r="AA27" s="3"/>
    </row>
    <row r="28" spans="1:27" ht="80.25" customHeight="1" x14ac:dyDescent="0.25">
      <c r="A28" s="11">
        <v>8</v>
      </c>
      <c r="B28" s="8" t="s">
        <v>83</v>
      </c>
      <c r="C28" s="68" t="s">
        <v>84</v>
      </c>
      <c r="D28" s="7" t="s">
        <v>40</v>
      </c>
      <c r="E28" s="7" t="s">
        <v>41</v>
      </c>
      <c r="F28" s="7" t="s">
        <v>32</v>
      </c>
      <c r="G28" s="17" t="s">
        <v>85</v>
      </c>
      <c r="H28" s="12">
        <v>4</v>
      </c>
      <c r="I28" s="12">
        <v>4</v>
      </c>
      <c r="J28" s="12">
        <v>5</v>
      </c>
      <c r="K28" s="12">
        <v>8</v>
      </c>
      <c r="L28" s="12">
        <v>8</v>
      </c>
      <c r="M28" s="12">
        <v>10</v>
      </c>
      <c r="N28" s="11">
        <f>SUM(H28:J28)*3</f>
        <v>39</v>
      </c>
      <c r="O28" s="61" t="s">
        <v>248</v>
      </c>
      <c r="P28" s="12">
        <v>3</v>
      </c>
      <c r="Q28" s="12">
        <v>4</v>
      </c>
      <c r="R28" s="11">
        <f>SUM(N28:Q28)</f>
        <v>46</v>
      </c>
      <c r="S28" s="18">
        <f>R28/24</f>
        <v>1.9166666666666667</v>
      </c>
      <c r="T28" s="19">
        <v>1</v>
      </c>
      <c r="U28" s="18">
        <f>T28-S28</f>
        <v>-0.91666666666666674</v>
      </c>
      <c r="V28" s="3"/>
      <c r="W28" s="3"/>
      <c r="X28" s="3"/>
      <c r="Y28" s="3"/>
      <c r="Z28" s="3"/>
      <c r="AA28" s="3"/>
    </row>
    <row r="29" spans="1:27" ht="30" customHeight="1" x14ac:dyDescent="0.25">
      <c r="A29" s="11">
        <v>9</v>
      </c>
      <c r="B29" s="20"/>
      <c r="C29" s="71"/>
      <c r="D29" s="21"/>
      <c r="E29" s="21"/>
      <c r="F29" s="21"/>
      <c r="G29" s="22" t="s">
        <v>86</v>
      </c>
      <c r="H29" s="12">
        <v>-4</v>
      </c>
      <c r="I29" s="12">
        <v>-4</v>
      </c>
      <c r="J29" s="12">
        <v>-5</v>
      </c>
      <c r="K29" s="12">
        <v>-12</v>
      </c>
      <c r="L29" s="12">
        <v>-12</v>
      </c>
      <c r="M29" s="12">
        <v>-15</v>
      </c>
      <c r="N29" s="11">
        <f>SUM(H29:J29)*3</f>
        <v>-39</v>
      </c>
      <c r="O29" s="61"/>
      <c r="P29" s="12"/>
      <c r="Q29" s="12"/>
      <c r="R29" s="11">
        <f>SUM(N29:Q29)</f>
        <v>-39</v>
      </c>
      <c r="S29" s="18">
        <f>R29/24</f>
        <v>-1.625</v>
      </c>
      <c r="T29" s="19">
        <v>0</v>
      </c>
      <c r="U29" s="18">
        <f>S29-T29</f>
        <v>-1.625</v>
      </c>
      <c r="V29" s="3"/>
      <c r="W29" s="3"/>
      <c r="X29" s="3"/>
      <c r="Y29" s="3"/>
      <c r="Z29" s="3"/>
      <c r="AA29" s="3"/>
    </row>
    <row r="30" spans="1:27" ht="50.25" customHeight="1" x14ac:dyDescent="0.25">
      <c r="A30" s="395">
        <v>10</v>
      </c>
      <c r="B30" s="8" t="s">
        <v>87</v>
      </c>
      <c r="C30" s="68" t="s">
        <v>88</v>
      </c>
      <c r="D30" s="7" t="s">
        <v>46</v>
      </c>
      <c r="E30" s="7" t="s">
        <v>31</v>
      </c>
      <c r="F30" s="7" t="s">
        <v>32</v>
      </c>
      <c r="G30" s="411" t="s">
        <v>89</v>
      </c>
      <c r="H30" s="12">
        <v>3</v>
      </c>
      <c r="I30" s="12">
        <v>4</v>
      </c>
      <c r="J30" s="12">
        <v>5</v>
      </c>
      <c r="K30" s="12">
        <v>11</v>
      </c>
      <c r="L30" s="12">
        <v>12</v>
      </c>
      <c r="M30" s="12">
        <v>15</v>
      </c>
      <c r="N30" s="395">
        <f>SUM(H30:J31)*3</f>
        <v>39</v>
      </c>
      <c r="O30" s="61" t="s">
        <v>90</v>
      </c>
      <c r="P30" s="12">
        <v>1</v>
      </c>
      <c r="Q30" s="12">
        <v>3</v>
      </c>
      <c r="R30" s="395">
        <f>SUM(N30:Q31)</f>
        <v>45</v>
      </c>
      <c r="S30" s="397">
        <f>R30/24</f>
        <v>1.875</v>
      </c>
      <c r="T30" s="399">
        <v>2</v>
      </c>
      <c r="U30" s="397">
        <f>T30:T31-S30:S31</f>
        <v>0.125</v>
      </c>
      <c r="V30" s="3"/>
      <c r="W30" s="3"/>
      <c r="X30" s="3"/>
      <c r="Y30" s="3"/>
      <c r="Z30" s="3"/>
      <c r="AA30" s="3"/>
    </row>
    <row r="31" spans="1:27" ht="30" customHeight="1" x14ac:dyDescent="0.25">
      <c r="A31" s="396"/>
      <c r="B31" s="15" t="s">
        <v>91</v>
      </c>
      <c r="C31" s="23" t="s">
        <v>34</v>
      </c>
      <c r="D31" s="24" t="s">
        <v>34</v>
      </c>
      <c r="E31" s="24" t="s">
        <v>34</v>
      </c>
      <c r="F31" s="22" t="s">
        <v>35</v>
      </c>
      <c r="G31" s="396"/>
      <c r="H31" s="12">
        <v>1</v>
      </c>
      <c r="I31" s="12"/>
      <c r="J31" s="12"/>
      <c r="K31" s="12">
        <v>1</v>
      </c>
      <c r="L31" s="12">
        <v>12</v>
      </c>
      <c r="M31" s="12">
        <v>15</v>
      </c>
      <c r="N31" s="396"/>
      <c r="O31" s="61" t="s">
        <v>98</v>
      </c>
      <c r="P31" s="12">
        <v>1</v>
      </c>
      <c r="Q31" s="12">
        <v>1</v>
      </c>
      <c r="R31" s="396"/>
      <c r="S31" s="398"/>
      <c r="T31" s="396"/>
      <c r="U31" s="398"/>
      <c r="V31" s="3"/>
      <c r="W31" s="3"/>
      <c r="X31" s="3"/>
      <c r="Y31" s="3"/>
      <c r="Z31" s="3"/>
      <c r="AA31" s="3"/>
    </row>
    <row r="32" spans="1:27" ht="45" x14ac:dyDescent="0.25">
      <c r="A32" s="11">
        <v>11</v>
      </c>
      <c r="B32" s="15" t="s">
        <v>92</v>
      </c>
      <c r="C32" s="70" t="s">
        <v>93</v>
      </c>
      <c r="D32" s="7" t="s">
        <v>63</v>
      </c>
      <c r="E32" s="16" t="s">
        <v>50</v>
      </c>
      <c r="F32" s="16" t="s">
        <v>32</v>
      </c>
      <c r="G32" s="17" t="s">
        <v>94</v>
      </c>
      <c r="H32" s="12">
        <v>4</v>
      </c>
      <c r="I32" s="12">
        <v>4</v>
      </c>
      <c r="J32" s="12">
        <v>5</v>
      </c>
      <c r="K32" s="12">
        <v>12</v>
      </c>
      <c r="L32" s="12">
        <v>12</v>
      </c>
      <c r="M32" s="12">
        <v>15</v>
      </c>
      <c r="N32" s="11">
        <f>SUM(H32:J32)*3</f>
        <v>39</v>
      </c>
      <c r="O32" s="61" t="s">
        <v>249</v>
      </c>
      <c r="P32" s="12">
        <v>2</v>
      </c>
      <c r="Q32" s="12">
        <v>3</v>
      </c>
      <c r="R32" s="11">
        <f>SUM(N32:Q32)</f>
        <v>44</v>
      </c>
      <c r="S32" s="18">
        <f>R32/24</f>
        <v>1.8333333333333333</v>
      </c>
      <c r="T32" s="19">
        <v>1</v>
      </c>
      <c r="U32" s="18">
        <f>T32-S32</f>
        <v>-0.83333333333333326</v>
      </c>
      <c r="V32" s="3"/>
      <c r="W32" s="3"/>
      <c r="X32" s="3"/>
      <c r="Y32" s="3"/>
      <c r="Z32" s="3"/>
      <c r="AA32" s="3"/>
    </row>
    <row r="33" spans="1:27" ht="30" customHeight="1" x14ac:dyDescent="0.25">
      <c r="A33" s="11">
        <v>12</v>
      </c>
      <c r="B33" s="15" t="s">
        <v>95</v>
      </c>
      <c r="C33" s="70" t="s">
        <v>96</v>
      </c>
      <c r="D33" s="7" t="s">
        <v>46</v>
      </c>
      <c r="E33" s="16" t="s">
        <v>31</v>
      </c>
      <c r="F33" s="16" t="s">
        <v>32</v>
      </c>
      <c r="G33" s="17" t="s">
        <v>97</v>
      </c>
      <c r="H33" s="12">
        <v>4</v>
      </c>
      <c r="I33" s="12">
        <v>4</v>
      </c>
      <c r="J33" s="12">
        <v>5</v>
      </c>
      <c r="K33" s="12">
        <v>4</v>
      </c>
      <c r="L33" s="12">
        <v>4</v>
      </c>
      <c r="M33" s="12">
        <v>5</v>
      </c>
      <c r="N33" s="11">
        <f>SUM(H33:J33)*3</f>
        <v>39</v>
      </c>
      <c r="O33" s="61" t="s">
        <v>250</v>
      </c>
      <c r="P33" s="12">
        <v>2</v>
      </c>
      <c r="Q33" s="12">
        <v>3</v>
      </c>
      <c r="R33" s="11">
        <f>SUM(N33:Q33)</f>
        <v>44</v>
      </c>
      <c r="S33" s="18">
        <f>R33/24</f>
        <v>1.8333333333333333</v>
      </c>
      <c r="T33" s="19">
        <v>1</v>
      </c>
      <c r="U33" s="18">
        <f>T33-S33</f>
        <v>-0.83333333333333326</v>
      </c>
      <c r="V33" s="3"/>
      <c r="W33" s="3"/>
      <c r="X33" s="3"/>
      <c r="Y33" s="3"/>
      <c r="Z33" s="3"/>
      <c r="AA33" s="3"/>
    </row>
    <row r="34" spans="1:27" ht="15.75" customHeight="1" x14ac:dyDescent="0.25">
      <c r="A34" s="3"/>
      <c r="B34" s="25"/>
      <c r="C34" s="3"/>
      <c r="D34" s="3"/>
      <c r="E34" s="3"/>
      <c r="F34" s="3"/>
      <c r="G34" s="2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25">
      <c r="A35" s="3" t="s">
        <v>99</v>
      </c>
      <c r="B35" s="25"/>
      <c r="C35" s="3"/>
      <c r="D35" s="3"/>
      <c r="E35" s="3"/>
      <c r="F35" s="3"/>
      <c r="G35" s="26"/>
      <c r="H35" s="3"/>
      <c r="I35" s="3"/>
      <c r="J35" s="3"/>
      <c r="K35" s="3"/>
      <c r="L35" s="3"/>
      <c r="M35" s="3"/>
      <c r="N35" s="3"/>
      <c r="O35" s="3"/>
      <c r="P35" s="3"/>
      <c r="Q35" s="3"/>
      <c r="R35" s="402" t="s">
        <v>605</v>
      </c>
      <c r="S35" s="403"/>
      <c r="T35" s="403"/>
      <c r="U35" s="403"/>
      <c r="V35" s="3"/>
      <c r="W35" s="3"/>
      <c r="X35" s="3"/>
      <c r="Y35" s="3"/>
      <c r="Z35" s="3"/>
      <c r="AA35" s="3"/>
    </row>
    <row r="36" spans="1:27" ht="15.75" customHeight="1" x14ac:dyDescent="0.25">
      <c r="A36" s="27" t="s">
        <v>101</v>
      </c>
      <c r="B36" s="2"/>
      <c r="C36" s="3"/>
      <c r="D36" s="3"/>
      <c r="E36" s="3"/>
      <c r="F36" s="3"/>
      <c r="G36" s="26"/>
      <c r="H36" s="3"/>
      <c r="I36" s="3"/>
      <c r="J36" s="3"/>
      <c r="K36" s="3"/>
      <c r="L36" s="3"/>
      <c r="M36" s="3"/>
      <c r="N36" s="3"/>
      <c r="O36" s="3"/>
      <c r="P36" s="3"/>
      <c r="Q36" s="3"/>
      <c r="R36" s="402" t="s">
        <v>100</v>
      </c>
      <c r="S36" s="403"/>
      <c r="T36" s="403"/>
      <c r="U36" s="403"/>
      <c r="V36" s="3"/>
      <c r="W36" s="3"/>
      <c r="X36" s="3"/>
      <c r="Y36" s="3"/>
      <c r="Z36" s="3"/>
      <c r="AA36" s="3"/>
    </row>
    <row r="37" spans="1:27" ht="15.75" customHeight="1" x14ac:dyDescent="0.25">
      <c r="A37" s="3" t="s">
        <v>102</v>
      </c>
      <c r="B37" s="25"/>
      <c r="C37" s="3"/>
      <c r="D37" s="3"/>
      <c r="E37" s="3"/>
      <c r="F37" s="3"/>
      <c r="G37" s="26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25">
      <c r="A38" s="3" t="s">
        <v>103</v>
      </c>
      <c r="B38" s="25"/>
      <c r="C38" s="3"/>
      <c r="D38" s="3"/>
      <c r="E38" s="3"/>
      <c r="F38" s="3"/>
      <c r="G38" s="2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5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25">
      <c r="A39" s="3" t="s">
        <v>104</v>
      </c>
      <c r="B39" s="25"/>
      <c r="C39" s="3"/>
      <c r="D39" s="3"/>
      <c r="E39" s="3"/>
      <c r="F39" s="3"/>
      <c r="G39" s="2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5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25">
      <c r="C40" s="3"/>
      <c r="D40" s="3"/>
      <c r="E40" s="3"/>
      <c r="F40" s="3"/>
      <c r="G40" s="26"/>
      <c r="H40" s="3"/>
      <c r="I40" s="3"/>
      <c r="J40" s="3"/>
      <c r="K40" s="3"/>
      <c r="L40" s="3"/>
      <c r="M40" s="3"/>
      <c r="N40" s="3"/>
      <c r="O40" s="3"/>
      <c r="P40" s="3"/>
      <c r="Q40" s="3"/>
      <c r="R40" s="404" t="s">
        <v>105</v>
      </c>
      <c r="S40" s="403"/>
      <c r="T40" s="403"/>
      <c r="U40" s="403"/>
      <c r="V40" s="3"/>
      <c r="W40" s="3"/>
      <c r="X40" s="3"/>
      <c r="Y40" s="3"/>
      <c r="Z40" s="3"/>
      <c r="AA40" s="3"/>
    </row>
    <row r="41" spans="1:27" ht="15.75" customHeight="1" x14ac:dyDescent="0.25">
      <c r="A41" s="3"/>
      <c r="B41" s="25"/>
      <c r="C41" s="3"/>
      <c r="D41" s="3"/>
      <c r="E41" s="3"/>
      <c r="F41" s="3"/>
      <c r="G41" s="26"/>
      <c r="H41" s="3"/>
      <c r="I41" s="3"/>
      <c r="J41" s="3"/>
      <c r="K41" s="3"/>
      <c r="L41" s="3"/>
      <c r="M41" s="3"/>
      <c r="N41" s="3"/>
      <c r="O41" s="3"/>
      <c r="P41" s="3"/>
      <c r="Q41" s="3"/>
      <c r="R41" s="402" t="s">
        <v>63</v>
      </c>
      <c r="S41" s="403"/>
      <c r="T41" s="403"/>
      <c r="U41" s="403"/>
      <c r="V41" s="3"/>
      <c r="W41" s="3"/>
      <c r="X41" s="3"/>
      <c r="Y41" s="3"/>
      <c r="Z41" s="3"/>
      <c r="AA41" s="3"/>
    </row>
    <row r="42" spans="1:27" ht="15.75" customHeight="1" x14ac:dyDescent="0.25">
      <c r="A42" s="3"/>
      <c r="B42" s="25"/>
      <c r="C42" s="3"/>
      <c r="D42" s="3"/>
      <c r="E42" s="3"/>
      <c r="F42" s="3"/>
      <c r="G42" s="26"/>
      <c r="H42" s="3"/>
      <c r="I42" s="3"/>
      <c r="J42" s="3"/>
      <c r="K42" s="3"/>
      <c r="L42" s="3"/>
      <c r="M42" s="3"/>
      <c r="N42" s="3"/>
      <c r="O42" s="3"/>
      <c r="P42" s="3"/>
      <c r="Q42" s="3"/>
      <c r="R42" s="402" t="s">
        <v>106</v>
      </c>
      <c r="S42" s="403"/>
      <c r="T42" s="403"/>
      <c r="U42" s="403"/>
      <c r="V42" s="3"/>
      <c r="W42" s="3"/>
      <c r="X42" s="3"/>
      <c r="Y42" s="3"/>
      <c r="Z42" s="3"/>
      <c r="AA42" s="3"/>
    </row>
    <row r="43" spans="1:27" ht="15.75" customHeight="1" x14ac:dyDescent="0.25">
      <c r="A43" s="3"/>
      <c r="B43" s="25"/>
      <c r="C43" s="3"/>
      <c r="D43" s="3"/>
      <c r="E43" s="3"/>
      <c r="F43" s="3"/>
      <c r="G43" s="2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25">
      <c r="A44" s="3"/>
      <c r="B44" s="25"/>
      <c r="C44" s="3"/>
      <c r="D44" s="3"/>
      <c r="E44" s="3"/>
      <c r="F44" s="3"/>
      <c r="G44" s="2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25">
      <c r="A45" s="3"/>
      <c r="B45" s="25"/>
      <c r="C45" s="3"/>
      <c r="D45" s="3"/>
      <c r="E45" s="3"/>
      <c r="F45" s="3"/>
      <c r="G45" s="2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25">
      <c r="A46" s="3"/>
      <c r="B46" s="25"/>
      <c r="C46" s="3"/>
      <c r="D46" s="3"/>
      <c r="E46" s="3"/>
      <c r="F46" s="3"/>
      <c r="G46" s="2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5">
      <c r="A47" s="3"/>
      <c r="B47" s="25"/>
      <c r="C47" s="3"/>
      <c r="D47" s="3"/>
      <c r="E47" s="3"/>
      <c r="F47" s="3"/>
      <c r="G47" s="26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5">
      <c r="A48" s="3"/>
      <c r="B48" s="25"/>
      <c r="C48" s="3"/>
      <c r="D48" s="3"/>
      <c r="E48" s="3"/>
      <c r="F48" s="3"/>
      <c r="G48" s="26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5">
      <c r="A49" s="3"/>
      <c r="B49" s="25"/>
      <c r="C49" s="3"/>
      <c r="D49" s="3"/>
      <c r="E49" s="3"/>
      <c r="F49" s="3"/>
      <c r="G49" s="26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5">
      <c r="A50" s="3"/>
      <c r="B50" s="25"/>
      <c r="C50" s="3"/>
      <c r="D50" s="3"/>
      <c r="E50" s="3"/>
      <c r="F50" s="3"/>
      <c r="G50" s="26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5">
      <c r="A51" s="3"/>
      <c r="B51" s="25"/>
      <c r="C51" s="3"/>
      <c r="D51" s="3"/>
      <c r="E51" s="3"/>
      <c r="F51" s="3"/>
      <c r="G51" s="26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5">
      <c r="A52" s="3"/>
      <c r="B52" s="25"/>
      <c r="C52" s="3"/>
      <c r="D52" s="3"/>
      <c r="E52" s="3"/>
      <c r="F52" s="3"/>
      <c r="G52" s="26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5">
      <c r="A53" s="3"/>
      <c r="B53" s="25"/>
      <c r="C53" s="3"/>
      <c r="D53" s="3"/>
      <c r="E53" s="3"/>
      <c r="F53" s="3"/>
      <c r="G53" s="2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5">
      <c r="A54" s="3"/>
      <c r="B54" s="25"/>
      <c r="C54" s="3"/>
      <c r="D54" s="3"/>
      <c r="E54" s="3"/>
      <c r="F54" s="3"/>
      <c r="G54" s="26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3"/>
      <c r="B55" s="25"/>
      <c r="C55" s="3"/>
      <c r="D55" s="3"/>
      <c r="E55" s="3"/>
      <c r="F55" s="3"/>
      <c r="G55" s="26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3"/>
      <c r="B56" s="25"/>
      <c r="C56" s="3"/>
      <c r="D56" s="3"/>
      <c r="E56" s="3"/>
      <c r="F56" s="3"/>
      <c r="G56" s="26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5">
      <c r="A57" s="3"/>
      <c r="B57" s="25"/>
      <c r="C57" s="3"/>
      <c r="D57" s="3"/>
      <c r="E57" s="3"/>
      <c r="F57" s="3"/>
      <c r="G57" s="26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5">
      <c r="A58" s="3"/>
      <c r="B58" s="25"/>
      <c r="C58" s="3"/>
      <c r="D58" s="3"/>
      <c r="E58" s="3"/>
      <c r="F58" s="3"/>
      <c r="G58" s="26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5">
      <c r="A59" s="3"/>
      <c r="B59" s="25"/>
      <c r="C59" s="3"/>
      <c r="D59" s="3"/>
      <c r="E59" s="3"/>
      <c r="F59" s="3"/>
      <c r="G59" s="26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5">
      <c r="A60" s="3"/>
      <c r="B60" s="25"/>
      <c r="C60" s="3"/>
      <c r="D60" s="3"/>
      <c r="E60" s="3"/>
      <c r="F60" s="3"/>
      <c r="G60" s="26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5">
      <c r="A61" s="3"/>
      <c r="B61" s="25"/>
      <c r="C61" s="3"/>
      <c r="D61" s="3"/>
      <c r="E61" s="3"/>
      <c r="F61" s="3"/>
      <c r="G61" s="26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5">
      <c r="A62" s="3"/>
      <c r="B62" s="25"/>
      <c r="C62" s="3"/>
      <c r="D62" s="3"/>
      <c r="E62" s="3"/>
      <c r="F62" s="3"/>
      <c r="G62" s="26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5">
      <c r="A63" s="3"/>
      <c r="B63" s="25"/>
      <c r="C63" s="3"/>
      <c r="D63" s="3"/>
      <c r="E63" s="3"/>
      <c r="F63" s="3"/>
      <c r="G63" s="26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A64" s="3"/>
      <c r="B64" s="25"/>
      <c r="C64" s="3"/>
      <c r="D64" s="3"/>
      <c r="E64" s="3"/>
      <c r="F64" s="3"/>
      <c r="G64" s="26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5">
      <c r="A65" s="3"/>
      <c r="B65" s="25"/>
      <c r="C65" s="3"/>
      <c r="D65" s="3"/>
      <c r="E65" s="3"/>
      <c r="F65" s="3"/>
      <c r="G65" s="26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5">
      <c r="A66" s="3"/>
      <c r="B66" s="25"/>
      <c r="C66" s="3"/>
      <c r="D66" s="3"/>
      <c r="E66" s="3"/>
      <c r="F66" s="3"/>
      <c r="G66" s="26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25">
      <c r="A67" s="3"/>
      <c r="B67" s="25"/>
      <c r="C67" s="3"/>
      <c r="D67" s="3"/>
      <c r="E67" s="3"/>
      <c r="F67" s="3"/>
      <c r="G67" s="26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25">
      <c r="A68" s="3"/>
      <c r="B68" s="25"/>
      <c r="C68" s="3"/>
      <c r="D68" s="3"/>
      <c r="E68" s="3"/>
      <c r="F68" s="3"/>
      <c r="G68" s="26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25">
      <c r="A69" s="3"/>
      <c r="B69" s="25"/>
      <c r="C69" s="3"/>
      <c r="D69" s="3"/>
      <c r="E69" s="3"/>
      <c r="F69" s="3"/>
      <c r="G69" s="26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25">
      <c r="A70" s="3"/>
      <c r="B70" s="25"/>
      <c r="C70" s="3"/>
      <c r="D70" s="3"/>
      <c r="E70" s="3"/>
      <c r="F70" s="3"/>
      <c r="G70" s="26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25">
      <c r="A71" s="3"/>
      <c r="B71" s="25"/>
      <c r="C71" s="3"/>
      <c r="D71" s="3"/>
      <c r="E71" s="3"/>
      <c r="F71" s="3"/>
      <c r="G71" s="26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25">
      <c r="A72" s="3"/>
      <c r="B72" s="25"/>
      <c r="C72" s="3"/>
      <c r="D72" s="3"/>
      <c r="E72" s="3"/>
      <c r="F72" s="3"/>
      <c r="G72" s="26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25">
      <c r="A73" s="3"/>
      <c r="B73" s="25"/>
      <c r="C73" s="3"/>
      <c r="D73" s="3"/>
      <c r="E73" s="3"/>
      <c r="F73" s="3"/>
      <c r="G73" s="26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25">
      <c r="A74" s="3"/>
      <c r="B74" s="25"/>
      <c r="C74" s="3"/>
      <c r="D74" s="3"/>
      <c r="E74" s="3"/>
      <c r="F74" s="3"/>
      <c r="G74" s="26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25">
      <c r="A75" s="3"/>
      <c r="B75" s="25"/>
      <c r="C75" s="3"/>
      <c r="D75" s="3"/>
      <c r="E75" s="3"/>
      <c r="F75" s="3"/>
      <c r="G75" s="26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25">
      <c r="A76" s="3"/>
      <c r="B76" s="25"/>
      <c r="C76" s="3"/>
      <c r="D76" s="3"/>
      <c r="E76" s="3"/>
      <c r="F76" s="3"/>
      <c r="G76" s="26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25">
      <c r="A77" s="3"/>
      <c r="B77" s="25"/>
      <c r="C77" s="3"/>
      <c r="D77" s="3"/>
      <c r="E77" s="3"/>
      <c r="F77" s="3"/>
      <c r="G77" s="26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25">
      <c r="A78" s="3"/>
      <c r="B78" s="25"/>
      <c r="C78" s="3"/>
      <c r="D78" s="3"/>
      <c r="E78" s="3"/>
      <c r="F78" s="3"/>
      <c r="G78" s="26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25">
      <c r="A79" s="3"/>
      <c r="B79" s="25"/>
      <c r="C79" s="3"/>
      <c r="D79" s="3"/>
      <c r="E79" s="3"/>
      <c r="F79" s="3"/>
      <c r="G79" s="26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25">
      <c r="A80" s="3"/>
      <c r="B80" s="25"/>
      <c r="C80" s="3"/>
      <c r="D80" s="3"/>
      <c r="E80" s="3"/>
      <c r="F80" s="3"/>
      <c r="G80" s="26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25">
      <c r="A81" s="3"/>
      <c r="B81" s="25"/>
      <c r="C81" s="3"/>
      <c r="D81" s="3"/>
      <c r="E81" s="3"/>
      <c r="F81" s="3"/>
      <c r="G81" s="26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5">
      <c r="A82" s="3"/>
      <c r="B82" s="25"/>
      <c r="C82" s="3"/>
      <c r="D82" s="3"/>
      <c r="E82" s="3"/>
      <c r="F82" s="3"/>
      <c r="G82" s="26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5">
      <c r="A83" s="3"/>
      <c r="B83" s="25"/>
      <c r="C83" s="3"/>
      <c r="D83" s="3"/>
      <c r="E83" s="3"/>
      <c r="F83" s="3"/>
      <c r="G83" s="26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5">
      <c r="A84" s="3"/>
      <c r="B84" s="25"/>
      <c r="C84" s="3"/>
      <c r="D84" s="3"/>
      <c r="E84" s="3"/>
      <c r="F84" s="3"/>
      <c r="G84" s="26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5">
      <c r="A85" s="3"/>
      <c r="B85" s="25"/>
      <c r="C85" s="3"/>
      <c r="D85" s="3"/>
      <c r="E85" s="3"/>
      <c r="F85" s="3"/>
      <c r="G85" s="26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5">
      <c r="A86" s="3"/>
      <c r="B86" s="25"/>
      <c r="C86" s="3"/>
      <c r="D86" s="3"/>
      <c r="E86" s="3"/>
      <c r="F86" s="3"/>
      <c r="G86" s="26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25">
      <c r="A87" s="3"/>
      <c r="B87" s="25"/>
      <c r="C87" s="3"/>
      <c r="D87" s="3"/>
      <c r="E87" s="3"/>
      <c r="F87" s="3"/>
      <c r="G87" s="26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25">
      <c r="A88" s="3"/>
      <c r="B88" s="25"/>
      <c r="C88" s="3"/>
      <c r="D88" s="3"/>
      <c r="E88" s="3"/>
      <c r="F88" s="3"/>
      <c r="G88" s="26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25">
      <c r="A89" s="3"/>
      <c r="B89" s="25"/>
      <c r="C89" s="3"/>
      <c r="D89" s="3"/>
      <c r="E89" s="3"/>
      <c r="F89" s="3"/>
      <c r="G89" s="26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25">
      <c r="A90" s="3"/>
      <c r="B90" s="25"/>
      <c r="C90" s="3"/>
      <c r="D90" s="3"/>
      <c r="E90" s="3"/>
      <c r="F90" s="3"/>
      <c r="G90" s="26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25">
      <c r="A91" s="3"/>
      <c r="B91" s="25"/>
      <c r="C91" s="3"/>
      <c r="D91" s="3"/>
      <c r="E91" s="3"/>
      <c r="F91" s="3"/>
      <c r="G91" s="26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25">
      <c r="A92" s="3"/>
      <c r="B92" s="25"/>
      <c r="C92" s="3"/>
      <c r="D92" s="3"/>
      <c r="E92" s="3"/>
      <c r="F92" s="3"/>
      <c r="G92" s="26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25">
      <c r="A93" s="3"/>
      <c r="B93" s="25"/>
      <c r="C93" s="3"/>
      <c r="D93" s="3"/>
      <c r="E93" s="3"/>
      <c r="F93" s="3"/>
      <c r="G93" s="26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25">
      <c r="A94" s="3"/>
      <c r="B94" s="25"/>
      <c r="C94" s="3"/>
      <c r="D94" s="3"/>
      <c r="E94" s="3"/>
      <c r="F94" s="3"/>
      <c r="G94" s="26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25">
      <c r="A95" s="3"/>
      <c r="B95" s="25"/>
      <c r="C95" s="3"/>
      <c r="D95" s="3"/>
      <c r="E95" s="3"/>
      <c r="F95" s="3"/>
      <c r="G95" s="26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25">
      <c r="A96" s="3"/>
      <c r="B96" s="25"/>
      <c r="C96" s="3"/>
      <c r="D96" s="3"/>
      <c r="E96" s="3"/>
      <c r="F96" s="3"/>
      <c r="G96" s="26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25">
      <c r="A97" s="3"/>
      <c r="B97" s="25"/>
      <c r="C97" s="3"/>
      <c r="D97" s="3"/>
      <c r="E97" s="3"/>
      <c r="F97" s="3"/>
      <c r="G97" s="26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25">
      <c r="A98" s="3"/>
      <c r="B98" s="25"/>
      <c r="C98" s="3"/>
      <c r="D98" s="3"/>
      <c r="E98" s="3"/>
      <c r="F98" s="3"/>
      <c r="G98" s="26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25">
      <c r="A99" s="3"/>
      <c r="B99" s="25"/>
      <c r="C99" s="3"/>
      <c r="D99" s="3"/>
      <c r="E99" s="3"/>
      <c r="F99" s="3"/>
      <c r="G99" s="26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25">
      <c r="A100" s="3"/>
      <c r="B100" s="25"/>
      <c r="C100" s="3"/>
      <c r="D100" s="3"/>
      <c r="E100" s="3"/>
      <c r="F100" s="3"/>
      <c r="G100" s="26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25">
      <c r="A101" s="3"/>
      <c r="B101" s="25"/>
      <c r="C101" s="3"/>
      <c r="D101" s="3"/>
      <c r="E101" s="3"/>
      <c r="F101" s="3"/>
      <c r="G101" s="26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25">
      <c r="A102" s="3"/>
      <c r="B102" s="25"/>
      <c r="C102" s="3"/>
      <c r="D102" s="3"/>
      <c r="E102" s="3"/>
      <c r="F102" s="3"/>
      <c r="G102" s="26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25">
      <c r="A103" s="3"/>
      <c r="B103" s="25"/>
      <c r="C103" s="3"/>
      <c r="D103" s="3"/>
      <c r="E103" s="3"/>
      <c r="F103" s="3"/>
      <c r="G103" s="26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25">
      <c r="A104" s="3"/>
      <c r="B104" s="25"/>
      <c r="C104" s="3"/>
      <c r="D104" s="3"/>
      <c r="E104" s="3"/>
      <c r="F104" s="3"/>
      <c r="G104" s="26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25">
      <c r="A105" s="3"/>
      <c r="B105" s="25"/>
      <c r="C105" s="3"/>
      <c r="D105" s="3"/>
      <c r="E105" s="3"/>
      <c r="F105" s="3"/>
      <c r="G105" s="26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25">
      <c r="A106" s="3"/>
      <c r="B106" s="25"/>
      <c r="C106" s="3"/>
      <c r="D106" s="3"/>
      <c r="E106" s="3"/>
      <c r="F106" s="3"/>
      <c r="G106" s="26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25">
      <c r="A107" s="3"/>
      <c r="B107" s="25"/>
      <c r="C107" s="3"/>
      <c r="D107" s="3"/>
      <c r="E107" s="3"/>
      <c r="F107" s="3"/>
      <c r="G107" s="26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25">
      <c r="A108" s="3"/>
      <c r="B108" s="25"/>
      <c r="C108" s="3"/>
      <c r="D108" s="3"/>
      <c r="E108" s="3"/>
      <c r="F108" s="3"/>
      <c r="G108" s="26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25">
      <c r="A109" s="3"/>
      <c r="B109" s="25"/>
      <c r="C109" s="3"/>
      <c r="D109" s="3"/>
      <c r="E109" s="3"/>
      <c r="F109" s="3"/>
      <c r="G109" s="26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25">
      <c r="A110" s="3"/>
      <c r="B110" s="25"/>
      <c r="C110" s="3"/>
      <c r="D110" s="3"/>
      <c r="E110" s="3"/>
      <c r="F110" s="3"/>
      <c r="G110" s="26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25">
      <c r="A111" s="3"/>
      <c r="B111" s="25"/>
      <c r="C111" s="3"/>
      <c r="D111" s="3"/>
      <c r="E111" s="3"/>
      <c r="F111" s="3"/>
      <c r="G111" s="26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25">
      <c r="A112" s="3"/>
      <c r="B112" s="25"/>
      <c r="C112" s="3"/>
      <c r="D112" s="3"/>
      <c r="E112" s="3"/>
      <c r="F112" s="3"/>
      <c r="G112" s="26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25">
      <c r="A113" s="3"/>
      <c r="B113" s="25"/>
      <c r="C113" s="3"/>
      <c r="D113" s="3"/>
      <c r="E113" s="3"/>
      <c r="F113" s="3"/>
      <c r="G113" s="26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25">
      <c r="A114" s="3"/>
      <c r="B114" s="25"/>
      <c r="C114" s="3"/>
      <c r="D114" s="3"/>
      <c r="E114" s="3"/>
      <c r="F114" s="3"/>
      <c r="G114" s="26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25">
      <c r="A115" s="3"/>
      <c r="B115" s="25"/>
      <c r="C115" s="3"/>
      <c r="D115" s="3"/>
      <c r="E115" s="3"/>
      <c r="F115" s="3"/>
      <c r="G115" s="26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25">
      <c r="A116" s="3"/>
      <c r="B116" s="25"/>
      <c r="C116" s="3"/>
      <c r="D116" s="3"/>
      <c r="E116" s="3"/>
      <c r="F116" s="3"/>
      <c r="G116" s="26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25">
      <c r="A117" s="3"/>
      <c r="B117" s="25"/>
      <c r="C117" s="3"/>
      <c r="D117" s="3"/>
      <c r="E117" s="3"/>
      <c r="F117" s="3"/>
      <c r="G117" s="26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25">
      <c r="A118" s="3"/>
      <c r="B118" s="25"/>
      <c r="C118" s="3"/>
      <c r="D118" s="3"/>
      <c r="E118" s="3"/>
      <c r="F118" s="3"/>
      <c r="G118" s="26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25">
      <c r="A119" s="3"/>
      <c r="B119" s="25"/>
      <c r="C119" s="3"/>
      <c r="D119" s="3"/>
      <c r="E119" s="3"/>
      <c r="F119" s="3"/>
      <c r="G119" s="26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25">
      <c r="A120" s="3"/>
      <c r="B120" s="25"/>
      <c r="C120" s="3"/>
      <c r="D120" s="3"/>
      <c r="E120" s="3"/>
      <c r="F120" s="3"/>
      <c r="G120" s="26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25">
      <c r="A121" s="3"/>
      <c r="B121" s="25"/>
      <c r="C121" s="3"/>
      <c r="D121" s="3"/>
      <c r="E121" s="3"/>
      <c r="F121" s="3"/>
      <c r="G121" s="26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25">
      <c r="A122" s="3"/>
      <c r="B122" s="25"/>
      <c r="C122" s="3"/>
      <c r="D122" s="3"/>
      <c r="E122" s="3"/>
      <c r="F122" s="3"/>
      <c r="G122" s="26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25">
      <c r="A123" s="3"/>
      <c r="B123" s="25"/>
      <c r="C123" s="3"/>
      <c r="D123" s="3"/>
      <c r="E123" s="3"/>
      <c r="F123" s="3"/>
      <c r="G123" s="26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25">
      <c r="A124" s="3"/>
      <c r="B124" s="25"/>
      <c r="C124" s="3"/>
      <c r="D124" s="3"/>
      <c r="E124" s="3"/>
      <c r="F124" s="3"/>
      <c r="G124" s="26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25">
      <c r="A125" s="3"/>
      <c r="B125" s="25"/>
      <c r="C125" s="3"/>
      <c r="D125" s="3"/>
      <c r="E125" s="3"/>
      <c r="F125" s="3"/>
      <c r="G125" s="26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25">
      <c r="A126" s="3"/>
      <c r="B126" s="25"/>
      <c r="C126" s="3"/>
      <c r="D126" s="3"/>
      <c r="E126" s="3"/>
      <c r="F126" s="3"/>
      <c r="G126" s="26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25">
      <c r="A127" s="3"/>
      <c r="B127" s="25"/>
      <c r="C127" s="3"/>
      <c r="D127" s="3"/>
      <c r="E127" s="3"/>
      <c r="F127" s="3"/>
      <c r="G127" s="26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25">
      <c r="A128" s="3"/>
      <c r="B128" s="25"/>
      <c r="C128" s="3"/>
      <c r="D128" s="3"/>
      <c r="E128" s="3"/>
      <c r="F128" s="3"/>
      <c r="G128" s="26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25">
      <c r="A129" s="3"/>
      <c r="B129" s="25"/>
      <c r="C129" s="3"/>
      <c r="D129" s="3"/>
      <c r="E129" s="3"/>
      <c r="F129" s="3"/>
      <c r="G129" s="26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25">
      <c r="A130" s="3"/>
      <c r="B130" s="25"/>
      <c r="C130" s="3"/>
      <c r="D130" s="3"/>
      <c r="E130" s="3"/>
      <c r="F130" s="3"/>
      <c r="G130" s="26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5">
      <c r="A131" s="3"/>
      <c r="B131" s="25"/>
      <c r="C131" s="3"/>
      <c r="D131" s="3"/>
      <c r="E131" s="3"/>
      <c r="F131" s="3"/>
      <c r="G131" s="26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3"/>
      <c r="B132" s="25"/>
      <c r="C132" s="3"/>
      <c r="D132" s="3"/>
      <c r="E132" s="3"/>
      <c r="F132" s="3"/>
      <c r="G132" s="26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3"/>
      <c r="B133" s="25"/>
      <c r="C133" s="3"/>
      <c r="D133" s="3"/>
      <c r="E133" s="3"/>
      <c r="F133" s="3"/>
      <c r="G133" s="26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3"/>
      <c r="B134" s="25"/>
      <c r="C134" s="3"/>
      <c r="D134" s="3"/>
      <c r="E134" s="3"/>
      <c r="F134" s="3"/>
      <c r="G134" s="26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3"/>
      <c r="B135" s="25"/>
      <c r="C135" s="3"/>
      <c r="D135" s="3"/>
      <c r="E135" s="3"/>
      <c r="F135" s="3"/>
      <c r="G135" s="26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3"/>
      <c r="B136" s="25"/>
      <c r="C136" s="3"/>
      <c r="D136" s="3"/>
      <c r="E136" s="3"/>
      <c r="F136" s="3"/>
      <c r="G136" s="26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3"/>
      <c r="B137" s="25"/>
      <c r="C137" s="3"/>
      <c r="D137" s="3"/>
      <c r="E137" s="3"/>
      <c r="F137" s="3"/>
      <c r="G137" s="26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5">
      <c r="A138" s="3"/>
      <c r="B138" s="25"/>
      <c r="C138" s="3"/>
      <c r="D138" s="3"/>
      <c r="E138" s="3"/>
      <c r="F138" s="3"/>
      <c r="G138" s="26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5">
      <c r="A139" s="3"/>
      <c r="B139" s="25"/>
      <c r="C139" s="3"/>
      <c r="D139" s="3"/>
      <c r="E139" s="3"/>
      <c r="F139" s="3"/>
      <c r="G139" s="26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5">
      <c r="A140" s="3"/>
      <c r="B140" s="25"/>
      <c r="C140" s="3"/>
      <c r="D140" s="3"/>
      <c r="E140" s="3"/>
      <c r="F140" s="3"/>
      <c r="G140" s="26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5">
      <c r="A141" s="3"/>
      <c r="B141" s="25"/>
      <c r="C141" s="3"/>
      <c r="D141" s="3"/>
      <c r="E141" s="3"/>
      <c r="F141" s="3"/>
      <c r="G141" s="26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5">
      <c r="A142" s="3"/>
      <c r="B142" s="25"/>
      <c r="C142" s="3"/>
      <c r="D142" s="3"/>
      <c r="E142" s="3"/>
      <c r="F142" s="3"/>
      <c r="G142" s="26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5">
      <c r="A143" s="3"/>
      <c r="B143" s="25"/>
      <c r="C143" s="3"/>
      <c r="D143" s="3"/>
      <c r="E143" s="3"/>
      <c r="F143" s="3"/>
      <c r="G143" s="26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5">
      <c r="A144" s="3"/>
      <c r="B144" s="25"/>
      <c r="C144" s="3"/>
      <c r="D144" s="3"/>
      <c r="E144" s="3"/>
      <c r="F144" s="3"/>
      <c r="G144" s="26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5">
      <c r="A145" s="3"/>
      <c r="B145" s="25"/>
      <c r="C145" s="3"/>
      <c r="D145" s="3"/>
      <c r="E145" s="3"/>
      <c r="F145" s="3"/>
      <c r="G145" s="26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5">
      <c r="A146" s="3"/>
      <c r="B146" s="25"/>
      <c r="C146" s="3"/>
      <c r="D146" s="3"/>
      <c r="E146" s="3"/>
      <c r="F146" s="3"/>
      <c r="G146" s="26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5">
      <c r="A147" s="3"/>
      <c r="B147" s="25"/>
      <c r="C147" s="3"/>
      <c r="D147" s="3"/>
      <c r="E147" s="3"/>
      <c r="F147" s="3"/>
      <c r="G147" s="26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5">
      <c r="A148" s="3"/>
      <c r="B148" s="25"/>
      <c r="C148" s="3"/>
      <c r="D148" s="3"/>
      <c r="E148" s="3"/>
      <c r="F148" s="3"/>
      <c r="G148" s="26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5">
      <c r="A149" s="3"/>
      <c r="B149" s="25"/>
      <c r="C149" s="3"/>
      <c r="D149" s="3"/>
      <c r="E149" s="3"/>
      <c r="F149" s="3"/>
      <c r="G149" s="26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5">
      <c r="A150" s="3"/>
      <c r="B150" s="25"/>
      <c r="C150" s="3"/>
      <c r="D150" s="3"/>
      <c r="E150" s="3"/>
      <c r="F150" s="3"/>
      <c r="G150" s="26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5">
      <c r="A151" s="3"/>
      <c r="B151" s="25"/>
      <c r="C151" s="3"/>
      <c r="D151" s="3"/>
      <c r="E151" s="3"/>
      <c r="F151" s="3"/>
      <c r="G151" s="26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5">
      <c r="A152" s="3"/>
      <c r="B152" s="25"/>
      <c r="C152" s="3"/>
      <c r="D152" s="3"/>
      <c r="E152" s="3"/>
      <c r="F152" s="3"/>
      <c r="G152" s="26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5">
      <c r="A153" s="3"/>
      <c r="B153" s="25"/>
      <c r="C153" s="3"/>
      <c r="D153" s="3"/>
      <c r="E153" s="3"/>
      <c r="F153" s="3"/>
      <c r="G153" s="26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5">
      <c r="A154" s="3"/>
      <c r="B154" s="25"/>
      <c r="C154" s="3"/>
      <c r="D154" s="3"/>
      <c r="E154" s="3"/>
      <c r="F154" s="3"/>
      <c r="G154" s="26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5">
      <c r="A155" s="3"/>
      <c r="B155" s="25"/>
      <c r="C155" s="3"/>
      <c r="D155" s="3"/>
      <c r="E155" s="3"/>
      <c r="F155" s="3"/>
      <c r="G155" s="26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5">
      <c r="A156" s="3"/>
      <c r="B156" s="25"/>
      <c r="C156" s="3"/>
      <c r="D156" s="3"/>
      <c r="E156" s="3"/>
      <c r="F156" s="3"/>
      <c r="G156" s="26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5">
      <c r="A157" s="3"/>
      <c r="B157" s="25"/>
      <c r="C157" s="3"/>
      <c r="D157" s="3"/>
      <c r="E157" s="3"/>
      <c r="F157" s="3"/>
      <c r="G157" s="26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5">
      <c r="A158" s="3"/>
      <c r="B158" s="25"/>
      <c r="C158" s="3"/>
      <c r="D158" s="3"/>
      <c r="E158" s="3"/>
      <c r="F158" s="3"/>
      <c r="G158" s="26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5">
      <c r="A159" s="3"/>
      <c r="B159" s="25"/>
      <c r="C159" s="3"/>
      <c r="D159" s="3"/>
      <c r="E159" s="3"/>
      <c r="F159" s="3"/>
      <c r="G159" s="26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5">
      <c r="A160" s="3"/>
      <c r="B160" s="25"/>
      <c r="C160" s="3"/>
      <c r="D160" s="3"/>
      <c r="E160" s="3"/>
      <c r="F160" s="3"/>
      <c r="G160" s="26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5">
      <c r="A161" s="3"/>
      <c r="B161" s="25"/>
      <c r="C161" s="3"/>
      <c r="D161" s="3"/>
      <c r="E161" s="3"/>
      <c r="F161" s="3"/>
      <c r="G161" s="26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5">
      <c r="A162" s="3"/>
      <c r="B162" s="25"/>
      <c r="C162" s="3"/>
      <c r="D162" s="3"/>
      <c r="E162" s="3"/>
      <c r="F162" s="3"/>
      <c r="G162" s="26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5">
      <c r="A163" s="3"/>
      <c r="B163" s="25"/>
      <c r="C163" s="3"/>
      <c r="D163" s="3"/>
      <c r="E163" s="3"/>
      <c r="F163" s="3"/>
      <c r="G163" s="26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5">
      <c r="A164" s="3"/>
      <c r="B164" s="25"/>
      <c r="C164" s="3"/>
      <c r="D164" s="3"/>
      <c r="E164" s="3"/>
      <c r="F164" s="3"/>
      <c r="G164" s="26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5">
      <c r="A165" s="3"/>
      <c r="B165" s="25"/>
      <c r="C165" s="3"/>
      <c r="D165" s="3"/>
      <c r="E165" s="3"/>
      <c r="F165" s="3"/>
      <c r="G165" s="26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5">
      <c r="A166" s="3"/>
      <c r="B166" s="25"/>
      <c r="C166" s="3"/>
      <c r="D166" s="3"/>
      <c r="E166" s="3"/>
      <c r="F166" s="3"/>
      <c r="G166" s="26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5">
      <c r="A167" s="3"/>
      <c r="B167" s="25"/>
      <c r="C167" s="3"/>
      <c r="D167" s="3"/>
      <c r="E167" s="3"/>
      <c r="F167" s="3"/>
      <c r="G167" s="26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5">
      <c r="A168" s="3"/>
      <c r="B168" s="25"/>
      <c r="C168" s="3"/>
      <c r="D168" s="3"/>
      <c r="E168" s="3"/>
      <c r="F168" s="3"/>
      <c r="G168" s="26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5">
      <c r="A169" s="3"/>
      <c r="B169" s="25"/>
      <c r="C169" s="3"/>
      <c r="D169" s="3"/>
      <c r="E169" s="3"/>
      <c r="F169" s="3"/>
      <c r="G169" s="26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5">
      <c r="A170" s="3"/>
      <c r="B170" s="25"/>
      <c r="C170" s="3"/>
      <c r="D170" s="3"/>
      <c r="E170" s="3"/>
      <c r="F170" s="3"/>
      <c r="G170" s="26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5">
      <c r="A171" s="3"/>
      <c r="B171" s="25"/>
      <c r="C171" s="3"/>
      <c r="D171" s="3"/>
      <c r="E171" s="3"/>
      <c r="F171" s="3"/>
      <c r="G171" s="26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5">
      <c r="A172" s="3"/>
      <c r="B172" s="25"/>
      <c r="C172" s="3"/>
      <c r="D172" s="3"/>
      <c r="E172" s="3"/>
      <c r="F172" s="3"/>
      <c r="G172" s="26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5">
      <c r="A173" s="3"/>
      <c r="B173" s="25"/>
      <c r="C173" s="3"/>
      <c r="D173" s="3"/>
      <c r="E173" s="3"/>
      <c r="F173" s="3"/>
      <c r="G173" s="26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5">
      <c r="A174" s="3"/>
      <c r="B174" s="25"/>
      <c r="C174" s="3"/>
      <c r="D174" s="3"/>
      <c r="E174" s="3"/>
      <c r="F174" s="3"/>
      <c r="G174" s="26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5">
      <c r="A175" s="3"/>
      <c r="B175" s="25"/>
      <c r="C175" s="3"/>
      <c r="D175" s="3"/>
      <c r="E175" s="3"/>
      <c r="F175" s="3"/>
      <c r="G175" s="26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5">
      <c r="A176" s="3"/>
      <c r="B176" s="25"/>
      <c r="C176" s="3"/>
      <c r="D176" s="3"/>
      <c r="E176" s="3"/>
      <c r="F176" s="3"/>
      <c r="G176" s="26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5">
      <c r="A177" s="3"/>
      <c r="B177" s="25"/>
      <c r="C177" s="3"/>
      <c r="D177" s="3"/>
      <c r="E177" s="3"/>
      <c r="F177" s="3"/>
      <c r="G177" s="26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5">
      <c r="A178" s="3"/>
      <c r="B178" s="25"/>
      <c r="C178" s="3"/>
      <c r="D178" s="3"/>
      <c r="E178" s="3"/>
      <c r="F178" s="3"/>
      <c r="G178" s="26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5">
      <c r="A179" s="3"/>
      <c r="B179" s="25"/>
      <c r="C179" s="3"/>
      <c r="D179" s="3"/>
      <c r="E179" s="3"/>
      <c r="F179" s="3"/>
      <c r="G179" s="26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5">
      <c r="A180" s="3"/>
      <c r="B180" s="25"/>
      <c r="C180" s="3"/>
      <c r="D180" s="3"/>
      <c r="E180" s="3"/>
      <c r="F180" s="3"/>
      <c r="G180" s="26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5">
      <c r="A181" s="3"/>
      <c r="B181" s="25"/>
      <c r="C181" s="3"/>
      <c r="D181" s="3"/>
      <c r="E181" s="3"/>
      <c r="F181" s="3"/>
      <c r="G181" s="26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5">
      <c r="A182" s="3"/>
      <c r="B182" s="25"/>
      <c r="C182" s="3"/>
      <c r="D182" s="3"/>
      <c r="E182" s="3"/>
      <c r="F182" s="3"/>
      <c r="G182" s="26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5">
      <c r="A183" s="3"/>
      <c r="B183" s="25"/>
      <c r="C183" s="3"/>
      <c r="D183" s="3"/>
      <c r="E183" s="3"/>
      <c r="F183" s="3"/>
      <c r="G183" s="26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5">
      <c r="A184" s="3"/>
      <c r="B184" s="25"/>
      <c r="C184" s="3"/>
      <c r="D184" s="3"/>
      <c r="E184" s="3"/>
      <c r="F184" s="3"/>
      <c r="G184" s="26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5">
      <c r="A185" s="3"/>
      <c r="B185" s="25"/>
      <c r="C185" s="3"/>
      <c r="D185" s="3"/>
      <c r="E185" s="3"/>
      <c r="F185" s="3"/>
      <c r="G185" s="26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5">
      <c r="A186" s="3"/>
      <c r="B186" s="25"/>
      <c r="C186" s="3"/>
      <c r="D186" s="3"/>
      <c r="E186" s="3"/>
      <c r="F186" s="3"/>
      <c r="G186" s="26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5">
      <c r="A187" s="3"/>
      <c r="B187" s="25"/>
      <c r="C187" s="3"/>
      <c r="D187" s="3"/>
      <c r="E187" s="3"/>
      <c r="F187" s="3"/>
      <c r="G187" s="26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5">
      <c r="A188" s="3"/>
      <c r="B188" s="25"/>
      <c r="C188" s="3"/>
      <c r="D188" s="3"/>
      <c r="E188" s="3"/>
      <c r="F188" s="3"/>
      <c r="G188" s="26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5">
      <c r="A189" s="3"/>
      <c r="B189" s="25"/>
      <c r="C189" s="3"/>
      <c r="D189" s="3"/>
      <c r="E189" s="3"/>
      <c r="F189" s="3"/>
      <c r="G189" s="26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5">
      <c r="A190" s="3"/>
      <c r="B190" s="25"/>
      <c r="C190" s="3"/>
      <c r="D190" s="3"/>
      <c r="E190" s="3"/>
      <c r="F190" s="3"/>
      <c r="G190" s="26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5">
      <c r="A191" s="3"/>
      <c r="B191" s="25"/>
      <c r="C191" s="3"/>
      <c r="D191" s="3"/>
      <c r="E191" s="3"/>
      <c r="F191" s="3"/>
      <c r="G191" s="26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5">
      <c r="A192" s="3"/>
      <c r="B192" s="25"/>
      <c r="C192" s="3"/>
      <c r="D192" s="3"/>
      <c r="E192" s="3"/>
      <c r="F192" s="3"/>
      <c r="G192" s="26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5">
      <c r="A193" s="3"/>
      <c r="B193" s="25"/>
      <c r="C193" s="3"/>
      <c r="D193" s="3"/>
      <c r="E193" s="3"/>
      <c r="F193" s="3"/>
      <c r="G193" s="26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5">
      <c r="A194" s="3"/>
      <c r="B194" s="25"/>
      <c r="C194" s="3"/>
      <c r="D194" s="3"/>
      <c r="E194" s="3"/>
      <c r="F194" s="3"/>
      <c r="G194" s="26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5">
      <c r="A195" s="3"/>
      <c r="B195" s="25"/>
      <c r="C195" s="3"/>
      <c r="D195" s="3"/>
      <c r="E195" s="3"/>
      <c r="F195" s="3"/>
      <c r="G195" s="26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5">
      <c r="A196" s="3"/>
      <c r="B196" s="25"/>
      <c r="C196" s="3"/>
      <c r="D196" s="3"/>
      <c r="E196" s="3"/>
      <c r="F196" s="3"/>
      <c r="G196" s="26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5">
      <c r="A197" s="3"/>
      <c r="B197" s="25"/>
      <c r="C197" s="3"/>
      <c r="D197" s="3"/>
      <c r="E197" s="3"/>
      <c r="F197" s="3"/>
      <c r="G197" s="26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5">
      <c r="A198" s="3"/>
      <c r="B198" s="25"/>
      <c r="C198" s="3"/>
      <c r="D198" s="3"/>
      <c r="E198" s="3"/>
      <c r="F198" s="3"/>
      <c r="G198" s="26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25">
      <c r="A199" s="3"/>
      <c r="B199" s="25"/>
      <c r="C199" s="3"/>
      <c r="D199" s="3"/>
      <c r="E199" s="3"/>
      <c r="F199" s="3"/>
      <c r="G199" s="26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25">
      <c r="A200" s="3"/>
      <c r="B200" s="25"/>
      <c r="C200" s="3"/>
      <c r="D200" s="3"/>
      <c r="E200" s="3"/>
      <c r="F200" s="3"/>
      <c r="G200" s="26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25">
      <c r="A201" s="3"/>
      <c r="B201" s="25"/>
      <c r="C201" s="3"/>
      <c r="D201" s="3"/>
      <c r="E201" s="3"/>
      <c r="F201" s="3"/>
      <c r="G201" s="26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25">
      <c r="A202" s="3"/>
      <c r="B202" s="25"/>
      <c r="C202" s="3"/>
      <c r="D202" s="3"/>
      <c r="E202" s="3"/>
      <c r="F202" s="3"/>
      <c r="G202" s="26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25">
      <c r="A203" s="3"/>
      <c r="B203" s="25"/>
      <c r="C203" s="3"/>
      <c r="D203" s="3"/>
      <c r="E203" s="3"/>
      <c r="F203" s="3"/>
      <c r="G203" s="26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25">
      <c r="A204" s="3"/>
      <c r="B204" s="25"/>
      <c r="C204" s="3"/>
      <c r="D204" s="3"/>
      <c r="E204" s="3"/>
      <c r="F204" s="3"/>
      <c r="G204" s="26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25">
      <c r="A205" s="3"/>
      <c r="B205" s="25"/>
      <c r="C205" s="3"/>
      <c r="D205" s="3"/>
      <c r="E205" s="3"/>
      <c r="F205" s="3"/>
      <c r="G205" s="26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25">
      <c r="A206" s="3"/>
      <c r="B206" s="25"/>
      <c r="C206" s="3"/>
      <c r="D206" s="3"/>
      <c r="E206" s="3"/>
      <c r="F206" s="3"/>
      <c r="G206" s="26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25">
      <c r="A207" s="3"/>
      <c r="B207" s="25"/>
      <c r="C207" s="3"/>
      <c r="D207" s="3"/>
      <c r="E207" s="3"/>
      <c r="F207" s="3"/>
      <c r="G207" s="26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25">
      <c r="A208" s="3"/>
      <c r="B208" s="25"/>
      <c r="C208" s="3"/>
      <c r="D208" s="3"/>
      <c r="E208" s="3"/>
      <c r="F208" s="3"/>
      <c r="G208" s="26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25">
      <c r="A209" s="3"/>
      <c r="B209" s="25"/>
      <c r="C209" s="3"/>
      <c r="D209" s="3"/>
      <c r="E209" s="3"/>
      <c r="F209" s="3"/>
      <c r="G209" s="26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25">
      <c r="A210" s="3"/>
      <c r="B210" s="25"/>
      <c r="C210" s="3"/>
      <c r="D210" s="3"/>
      <c r="E210" s="3"/>
      <c r="F210" s="3"/>
      <c r="G210" s="26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25">
      <c r="A211" s="3"/>
      <c r="B211" s="25"/>
      <c r="C211" s="3"/>
      <c r="D211" s="3"/>
      <c r="E211" s="3"/>
      <c r="F211" s="3"/>
      <c r="G211" s="26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25">
      <c r="A212" s="3"/>
      <c r="B212" s="25"/>
      <c r="C212" s="3"/>
      <c r="D212" s="3"/>
      <c r="E212" s="3"/>
      <c r="F212" s="3"/>
      <c r="G212" s="26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25">
      <c r="A213" s="3"/>
      <c r="B213" s="25"/>
      <c r="C213" s="3"/>
      <c r="D213" s="3"/>
      <c r="E213" s="3"/>
      <c r="F213" s="3"/>
      <c r="G213" s="26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25">
      <c r="A214" s="3"/>
      <c r="B214" s="25"/>
      <c r="C214" s="3"/>
      <c r="D214" s="3"/>
      <c r="E214" s="3"/>
      <c r="F214" s="3"/>
      <c r="G214" s="26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25">
      <c r="A215" s="3"/>
      <c r="B215" s="25"/>
      <c r="C215" s="3"/>
      <c r="D215" s="3"/>
      <c r="E215" s="3"/>
      <c r="F215" s="3"/>
      <c r="G215" s="26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25">
      <c r="A216" s="3"/>
      <c r="B216" s="25"/>
      <c r="C216" s="3"/>
      <c r="D216" s="3"/>
      <c r="E216" s="3"/>
      <c r="F216" s="3"/>
      <c r="G216" s="26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25">
      <c r="A217" s="3"/>
      <c r="B217" s="25"/>
      <c r="C217" s="3"/>
      <c r="D217" s="3"/>
      <c r="E217" s="3"/>
      <c r="F217" s="3"/>
      <c r="G217" s="26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25">
      <c r="A218" s="3"/>
      <c r="B218" s="25"/>
      <c r="C218" s="3"/>
      <c r="D218" s="3"/>
      <c r="E218" s="3"/>
      <c r="F218" s="3"/>
      <c r="G218" s="26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25">
      <c r="A219" s="3"/>
      <c r="B219" s="25"/>
      <c r="C219" s="3"/>
      <c r="D219" s="3"/>
      <c r="E219" s="3"/>
      <c r="F219" s="3"/>
      <c r="G219" s="26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25">
      <c r="A220" s="3"/>
      <c r="B220" s="25"/>
      <c r="C220" s="3"/>
      <c r="D220" s="3"/>
      <c r="E220" s="3"/>
      <c r="F220" s="3"/>
      <c r="G220" s="26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25">
      <c r="A221" s="3"/>
      <c r="B221" s="25"/>
      <c r="C221" s="3"/>
      <c r="D221" s="3"/>
      <c r="E221" s="3"/>
      <c r="F221" s="3"/>
      <c r="G221" s="26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 x14ac:dyDescent="0.25">
      <c r="A222" s="3"/>
      <c r="B222" s="25"/>
      <c r="C222" s="3"/>
      <c r="D222" s="3"/>
      <c r="E222" s="3"/>
      <c r="F222" s="3"/>
      <c r="G222" s="26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 x14ac:dyDescent="0.25">
      <c r="A223" s="3"/>
      <c r="B223" s="25"/>
      <c r="C223" s="3"/>
      <c r="D223" s="3"/>
      <c r="E223" s="3"/>
      <c r="F223" s="3"/>
      <c r="G223" s="26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 x14ac:dyDescent="0.25">
      <c r="A224" s="3"/>
      <c r="B224" s="25"/>
      <c r="C224" s="3"/>
      <c r="D224" s="3"/>
      <c r="E224" s="3"/>
      <c r="F224" s="3"/>
      <c r="G224" s="26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 x14ac:dyDescent="0.25">
      <c r="A225" s="3"/>
      <c r="B225" s="25"/>
      <c r="C225" s="3"/>
      <c r="D225" s="3"/>
      <c r="E225" s="3"/>
      <c r="F225" s="3"/>
      <c r="G225" s="26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 x14ac:dyDescent="0.25">
      <c r="A226" s="3"/>
      <c r="B226" s="25"/>
      <c r="C226" s="3"/>
      <c r="D226" s="3"/>
      <c r="E226" s="3"/>
      <c r="F226" s="3"/>
      <c r="G226" s="26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 x14ac:dyDescent="0.25">
      <c r="A227" s="3"/>
      <c r="B227" s="25"/>
      <c r="C227" s="3"/>
      <c r="D227" s="3"/>
      <c r="E227" s="3"/>
      <c r="F227" s="3"/>
      <c r="G227" s="26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 x14ac:dyDescent="0.25">
      <c r="A228" s="3"/>
      <c r="B228" s="25"/>
      <c r="C228" s="3"/>
      <c r="D228" s="3"/>
      <c r="E228" s="3"/>
      <c r="F228" s="3"/>
      <c r="G228" s="26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 x14ac:dyDescent="0.25">
      <c r="A229" s="3"/>
      <c r="B229" s="25"/>
      <c r="C229" s="3"/>
      <c r="D229" s="3"/>
      <c r="E229" s="3"/>
      <c r="F229" s="3"/>
      <c r="G229" s="26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 x14ac:dyDescent="0.25">
      <c r="A230" s="3"/>
      <c r="B230" s="25"/>
      <c r="C230" s="3"/>
      <c r="D230" s="3"/>
      <c r="E230" s="3"/>
      <c r="F230" s="3"/>
      <c r="G230" s="26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 x14ac:dyDescent="0.25">
      <c r="A231" s="3"/>
      <c r="B231" s="25"/>
      <c r="C231" s="3"/>
      <c r="D231" s="3"/>
      <c r="E231" s="3"/>
      <c r="F231" s="3"/>
      <c r="G231" s="26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 x14ac:dyDescent="0.25">
      <c r="A232" s="3"/>
      <c r="B232" s="25"/>
      <c r="C232" s="3"/>
      <c r="D232" s="3"/>
      <c r="E232" s="3"/>
      <c r="F232" s="3"/>
      <c r="G232" s="26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 x14ac:dyDescent="0.25">
      <c r="A233" s="3"/>
      <c r="B233" s="25"/>
      <c r="C233" s="3"/>
      <c r="D233" s="3"/>
      <c r="E233" s="3"/>
      <c r="F233" s="3"/>
      <c r="G233" s="26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customHeight="1" x14ac:dyDescent="0.25">
      <c r="A234" s="3"/>
      <c r="B234" s="25"/>
      <c r="C234" s="3"/>
      <c r="D234" s="3"/>
      <c r="E234" s="3"/>
      <c r="F234" s="3"/>
      <c r="G234" s="26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customHeight="1" x14ac:dyDescent="0.25">
      <c r="A235" s="3"/>
      <c r="B235" s="25"/>
      <c r="C235" s="3"/>
      <c r="D235" s="3"/>
      <c r="E235" s="3"/>
      <c r="F235" s="3"/>
      <c r="G235" s="26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customHeight="1" x14ac:dyDescent="0.25">
      <c r="A236" s="3"/>
      <c r="B236" s="25"/>
      <c r="C236" s="3"/>
      <c r="D236" s="3"/>
      <c r="E236" s="3"/>
      <c r="F236" s="3"/>
      <c r="G236" s="26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customHeight="1" x14ac:dyDescent="0.25">
      <c r="A237" s="3"/>
      <c r="B237" s="25"/>
      <c r="C237" s="3"/>
      <c r="D237" s="3"/>
      <c r="E237" s="3"/>
      <c r="F237" s="3"/>
      <c r="G237" s="26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customHeight="1" x14ac:dyDescent="0.25">
      <c r="A238" s="3"/>
      <c r="B238" s="25"/>
      <c r="C238" s="3"/>
      <c r="D238" s="3"/>
      <c r="E238" s="3"/>
      <c r="F238" s="3"/>
      <c r="G238" s="26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customHeight="1" x14ac:dyDescent="0.25">
      <c r="A239" s="3"/>
      <c r="B239" s="25"/>
      <c r="C239" s="3"/>
      <c r="D239" s="3"/>
      <c r="E239" s="3"/>
      <c r="F239" s="3"/>
      <c r="G239" s="26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customHeight="1" x14ac:dyDescent="0.25">
      <c r="A240" s="3"/>
      <c r="B240" s="25"/>
      <c r="C240" s="3"/>
      <c r="D240" s="3"/>
      <c r="E240" s="3"/>
      <c r="F240" s="3"/>
      <c r="G240" s="26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customHeight="1" x14ac:dyDescent="0.25">
      <c r="A241" s="3"/>
      <c r="B241" s="25"/>
      <c r="C241" s="3"/>
      <c r="D241" s="3"/>
      <c r="E241" s="3"/>
      <c r="F241" s="3"/>
      <c r="G241" s="26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customHeight="1" x14ac:dyDescent="0.25">
      <c r="A242" s="3"/>
      <c r="B242" s="25"/>
      <c r="C242" s="3"/>
      <c r="D242" s="3"/>
      <c r="E242" s="3"/>
      <c r="F242" s="3"/>
      <c r="G242" s="26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customHeight="1" x14ac:dyDescent="0.25"/>
    <row r="244" spans="1:27" ht="15.75" customHeight="1" x14ac:dyDescent="0.25"/>
    <row r="245" spans="1:27" ht="15.75" customHeight="1" x14ac:dyDescent="0.25"/>
    <row r="246" spans="1:27" ht="15.75" customHeight="1" x14ac:dyDescent="0.25"/>
    <row r="247" spans="1:27" ht="15.75" customHeight="1" x14ac:dyDescent="0.25"/>
    <row r="248" spans="1:27" ht="15.75" customHeight="1" x14ac:dyDescent="0.25"/>
    <row r="249" spans="1:27" ht="15.75" customHeight="1" x14ac:dyDescent="0.25"/>
    <row r="250" spans="1:27" ht="15.75" customHeight="1" x14ac:dyDescent="0.25"/>
    <row r="251" spans="1:27" ht="15.75" customHeight="1" x14ac:dyDescent="0.25"/>
    <row r="252" spans="1:27" ht="15.75" customHeight="1" x14ac:dyDescent="0.25"/>
    <row r="253" spans="1:27" ht="15.75" customHeight="1" x14ac:dyDescent="0.25"/>
    <row r="254" spans="1:27" ht="15.75" customHeight="1" x14ac:dyDescent="0.25"/>
    <row r="255" spans="1:27" ht="15.75" customHeight="1" x14ac:dyDescent="0.25"/>
    <row r="256" spans="1:27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85">
    <mergeCell ref="A1:U1"/>
    <mergeCell ref="A2:U2"/>
    <mergeCell ref="A3:U3"/>
    <mergeCell ref="G25:G27"/>
    <mergeCell ref="G30:G31"/>
    <mergeCell ref="G10:G11"/>
    <mergeCell ref="G12:G13"/>
    <mergeCell ref="G14:G15"/>
    <mergeCell ref="G16:G18"/>
    <mergeCell ref="G19:G20"/>
    <mergeCell ref="G21:G22"/>
    <mergeCell ref="G23:G24"/>
    <mergeCell ref="A21:A22"/>
    <mergeCell ref="A23:A24"/>
    <mergeCell ref="A25:A27"/>
    <mergeCell ref="A30:A31"/>
    <mergeCell ref="A10:A11"/>
    <mergeCell ref="A12:A13"/>
    <mergeCell ref="Q10:Q11"/>
    <mergeCell ref="N12:N13"/>
    <mergeCell ref="A14:A15"/>
    <mergeCell ref="A16:A18"/>
    <mergeCell ref="A19:A20"/>
    <mergeCell ref="B10:B11"/>
    <mergeCell ref="C10:C11"/>
    <mergeCell ref="D10:D11"/>
    <mergeCell ref="E10:E11"/>
    <mergeCell ref="F10:F11"/>
    <mergeCell ref="H10:J10"/>
    <mergeCell ref="K10:M10"/>
    <mergeCell ref="N10:N11"/>
    <mergeCell ref="O10:O11"/>
    <mergeCell ref="P10:P11"/>
    <mergeCell ref="N16:N18"/>
    <mergeCell ref="S10:S11"/>
    <mergeCell ref="T10:T11"/>
    <mergeCell ref="U10:U11"/>
    <mergeCell ref="R10:R11"/>
    <mergeCell ref="R12:R13"/>
    <mergeCell ref="S12:S13"/>
    <mergeCell ref="T12:T13"/>
    <mergeCell ref="U12:U13"/>
    <mergeCell ref="R42:U42"/>
    <mergeCell ref="N25:N27"/>
    <mergeCell ref="S25:S27"/>
    <mergeCell ref="T25:T27"/>
    <mergeCell ref="U25:U27"/>
    <mergeCell ref="N30:N31"/>
    <mergeCell ref="U30:U31"/>
    <mergeCell ref="R25:R27"/>
    <mergeCell ref="R30:R31"/>
    <mergeCell ref="S30:S31"/>
    <mergeCell ref="T30:T31"/>
    <mergeCell ref="U23:U24"/>
    <mergeCell ref="R35:U35"/>
    <mergeCell ref="R36:U36"/>
    <mergeCell ref="R40:U40"/>
    <mergeCell ref="R41:U41"/>
    <mergeCell ref="Y14:Y15"/>
    <mergeCell ref="Y16:Y17"/>
    <mergeCell ref="Y18:Y20"/>
    <mergeCell ref="Y21:Y22"/>
    <mergeCell ref="U21:U22"/>
    <mergeCell ref="N19:N20"/>
    <mergeCell ref="U19:U20"/>
    <mergeCell ref="R14:R15"/>
    <mergeCell ref="R19:R20"/>
    <mergeCell ref="S19:S20"/>
    <mergeCell ref="T19:T20"/>
    <mergeCell ref="N14:N15"/>
    <mergeCell ref="S14:S15"/>
    <mergeCell ref="T14:T15"/>
    <mergeCell ref="T16:T18"/>
    <mergeCell ref="U16:U18"/>
    <mergeCell ref="R16:R18"/>
    <mergeCell ref="S16:S18"/>
    <mergeCell ref="U14:U15"/>
    <mergeCell ref="N23:N24"/>
    <mergeCell ref="R21:R22"/>
    <mergeCell ref="N21:N22"/>
    <mergeCell ref="S21:S22"/>
    <mergeCell ref="T21:T22"/>
    <mergeCell ref="R23:R24"/>
    <mergeCell ref="S23:S24"/>
    <mergeCell ref="T23:T24"/>
  </mergeCells>
  <printOptions horizontalCentered="1"/>
  <pageMargins left="3.937007874015748E-2" right="3.937007874015748E-2" top="3.937007874015748E-2" bottom="3.937007874015748E-2" header="3.937007874015748E-2" footer="3.937007874015748E-2"/>
  <pageSetup paperSize="20000" scale="4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4"/>
  <sheetViews>
    <sheetView view="pageBreakPreview" zoomScale="85" zoomScaleNormal="100" zoomScaleSheetLayoutView="85" workbookViewId="0">
      <selection activeCell="J10" sqref="J10"/>
    </sheetView>
  </sheetViews>
  <sheetFormatPr defaultColWidth="14.42578125" defaultRowHeight="15" customHeight="1" x14ac:dyDescent="0.25"/>
  <cols>
    <col min="1" max="2" width="4.7109375" customWidth="1"/>
    <col min="3" max="3" width="43.28515625" bestFit="1" customWidth="1"/>
    <col min="4" max="4" width="6.85546875" customWidth="1"/>
    <col min="5" max="5" width="13.28515625" customWidth="1"/>
    <col min="6" max="6" width="40.42578125" customWidth="1"/>
    <col min="7" max="8" width="18.85546875" customWidth="1"/>
    <col min="9" max="9" width="14.42578125" customWidth="1"/>
    <col min="10" max="10" width="11.5703125" customWidth="1"/>
    <col min="11" max="26" width="14" customWidth="1"/>
  </cols>
  <sheetData>
    <row r="1" spans="1:10" ht="18" x14ac:dyDescent="0.25">
      <c r="A1" s="415" t="s">
        <v>610</v>
      </c>
      <c r="B1" s="415"/>
      <c r="C1" s="415"/>
      <c r="D1" s="415"/>
      <c r="E1" s="415"/>
      <c r="F1" s="415"/>
      <c r="G1" s="415"/>
      <c r="H1" s="415"/>
      <c r="I1" s="415"/>
      <c r="J1" s="415"/>
    </row>
    <row r="2" spans="1:10" ht="18" x14ac:dyDescent="0.25">
      <c r="A2" s="415" t="str">
        <f>PTT!A3</f>
        <v>UNIT KERJA : SMP NEGERI 2 KARANGTENGAH</v>
      </c>
      <c r="B2" s="415"/>
      <c r="C2" s="415"/>
      <c r="D2" s="415"/>
      <c r="E2" s="415"/>
      <c r="F2" s="415"/>
      <c r="G2" s="415"/>
      <c r="H2" s="415"/>
      <c r="I2" s="415"/>
      <c r="J2" s="415"/>
    </row>
    <row r="3" spans="1:10" ht="18" x14ac:dyDescent="0.25">
      <c r="A3" s="415" t="str">
        <f>PTT!A4</f>
        <v>PER : 1 Agustus 2025</v>
      </c>
      <c r="B3" s="415"/>
      <c r="C3" s="415"/>
      <c r="D3" s="415"/>
      <c r="E3" s="415"/>
      <c r="F3" s="415"/>
      <c r="G3" s="415"/>
      <c r="H3" s="415"/>
      <c r="I3" s="415"/>
      <c r="J3" s="415"/>
    </row>
    <row r="5" spans="1:10" ht="15.75" x14ac:dyDescent="0.25">
      <c r="A5" s="1"/>
      <c r="B5" s="1" t="s">
        <v>0</v>
      </c>
      <c r="C5" s="2"/>
      <c r="D5" s="1" t="s">
        <v>1</v>
      </c>
    </row>
    <row r="6" spans="1:10" ht="15.75" x14ac:dyDescent="0.25">
      <c r="A6" s="1"/>
      <c r="B6" s="1" t="s">
        <v>2</v>
      </c>
      <c r="C6" s="2"/>
      <c r="D6" s="1" t="s">
        <v>3</v>
      </c>
    </row>
    <row r="7" spans="1:10" ht="15.75" x14ac:dyDescent="0.25">
      <c r="A7" s="1"/>
      <c r="B7" s="1" t="s">
        <v>4</v>
      </c>
      <c r="C7" s="2"/>
      <c r="D7" s="1" t="s">
        <v>5</v>
      </c>
    </row>
    <row r="8" spans="1:10" ht="15.75" x14ac:dyDescent="0.25">
      <c r="A8" s="1"/>
      <c r="B8" s="1" t="s">
        <v>6</v>
      </c>
      <c r="C8" s="2"/>
      <c r="D8" s="1" t="s">
        <v>7</v>
      </c>
    </row>
    <row r="9" spans="1:10" ht="15" customHeight="1" thickBot="1" x14ac:dyDescent="0.3"/>
    <row r="10" spans="1:10" ht="66.75" customHeight="1" thickBot="1" x14ac:dyDescent="0.3">
      <c r="A10" s="60"/>
      <c r="B10" s="660" t="s">
        <v>107</v>
      </c>
      <c r="C10" s="661" t="s">
        <v>108</v>
      </c>
      <c r="D10" s="661" t="s">
        <v>10</v>
      </c>
      <c r="E10" s="662" t="s">
        <v>109</v>
      </c>
      <c r="F10" s="661" t="s">
        <v>12</v>
      </c>
      <c r="G10" s="662" t="s">
        <v>13</v>
      </c>
      <c r="H10" s="662" t="s">
        <v>110</v>
      </c>
      <c r="I10" s="661" t="s">
        <v>111</v>
      </c>
      <c r="J10" s="663" t="s">
        <v>112</v>
      </c>
    </row>
    <row r="11" spans="1:10" ht="30" customHeight="1" x14ac:dyDescent="0.25">
      <c r="A11" s="28"/>
      <c r="B11" s="653">
        <v>1</v>
      </c>
      <c r="C11" s="654" t="s">
        <v>113</v>
      </c>
      <c r="D11" s="655" t="s">
        <v>34</v>
      </c>
      <c r="E11" s="655" t="s">
        <v>34</v>
      </c>
      <c r="F11" s="656" t="s">
        <v>114</v>
      </c>
      <c r="G11" s="657" t="s">
        <v>35</v>
      </c>
      <c r="H11" s="657"/>
      <c r="I11" s="658">
        <v>1</v>
      </c>
      <c r="J11" s="659">
        <f t="shared" ref="J11:J15" si="0">H11-I11</f>
        <v>-1</v>
      </c>
    </row>
    <row r="12" spans="1:10" ht="30" customHeight="1" x14ac:dyDescent="0.25">
      <c r="A12" s="28"/>
      <c r="B12" s="644">
        <v>2</v>
      </c>
      <c r="C12" s="15" t="s">
        <v>115</v>
      </c>
      <c r="D12" s="23" t="s">
        <v>34</v>
      </c>
      <c r="E12" s="23" t="s">
        <v>34</v>
      </c>
      <c r="F12" s="29" t="s">
        <v>116</v>
      </c>
      <c r="G12" s="19" t="s">
        <v>35</v>
      </c>
      <c r="H12" s="19"/>
      <c r="I12" s="11">
        <v>1</v>
      </c>
      <c r="J12" s="645">
        <f t="shared" si="0"/>
        <v>-1</v>
      </c>
    </row>
    <row r="13" spans="1:10" ht="30" customHeight="1" x14ac:dyDescent="0.25">
      <c r="A13" s="28"/>
      <c r="B13" s="644">
        <v>3</v>
      </c>
      <c r="C13" s="15" t="s">
        <v>117</v>
      </c>
      <c r="D13" s="23" t="s">
        <v>34</v>
      </c>
      <c r="E13" s="23" t="s">
        <v>34</v>
      </c>
      <c r="F13" s="29" t="s">
        <v>118</v>
      </c>
      <c r="G13" s="19" t="s">
        <v>119</v>
      </c>
      <c r="H13" s="19"/>
      <c r="I13" s="11">
        <v>1</v>
      </c>
      <c r="J13" s="645">
        <f t="shared" si="0"/>
        <v>-1</v>
      </c>
    </row>
    <row r="14" spans="1:10" ht="30" customHeight="1" x14ac:dyDescent="0.25">
      <c r="A14" s="28"/>
      <c r="B14" s="644">
        <v>4</v>
      </c>
      <c r="C14" s="15" t="s">
        <v>122</v>
      </c>
      <c r="D14" s="23" t="s">
        <v>34</v>
      </c>
      <c r="E14" s="23" t="s">
        <v>34</v>
      </c>
      <c r="F14" s="29" t="s">
        <v>123</v>
      </c>
      <c r="G14" s="19" t="s">
        <v>35</v>
      </c>
      <c r="H14" s="19"/>
      <c r="I14" s="11">
        <v>1</v>
      </c>
      <c r="J14" s="645">
        <f>H14-I14</f>
        <v>-1</v>
      </c>
    </row>
    <row r="15" spans="1:10" ht="30" customHeight="1" x14ac:dyDescent="0.25">
      <c r="A15" s="28"/>
      <c r="B15" s="644">
        <v>5</v>
      </c>
      <c r="C15" s="15" t="s">
        <v>120</v>
      </c>
      <c r="D15" s="23" t="s">
        <v>34</v>
      </c>
      <c r="E15" s="23" t="s">
        <v>34</v>
      </c>
      <c r="F15" s="29" t="s">
        <v>121</v>
      </c>
      <c r="G15" s="19" t="s">
        <v>35</v>
      </c>
      <c r="H15" s="19"/>
      <c r="I15" s="11">
        <v>1</v>
      </c>
      <c r="J15" s="645">
        <f t="shared" si="0"/>
        <v>-1</v>
      </c>
    </row>
    <row r="16" spans="1:10" ht="30" customHeight="1" x14ac:dyDescent="0.25">
      <c r="A16" s="28"/>
      <c r="B16" s="644">
        <v>6</v>
      </c>
      <c r="C16" s="15" t="s">
        <v>124</v>
      </c>
      <c r="D16" s="23" t="s">
        <v>34</v>
      </c>
      <c r="E16" s="23" t="s">
        <v>34</v>
      </c>
      <c r="F16" s="29" t="s">
        <v>125</v>
      </c>
      <c r="G16" s="19" t="s">
        <v>35</v>
      </c>
      <c r="H16" s="19"/>
      <c r="I16" s="11">
        <v>1</v>
      </c>
      <c r="J16" s="645">
        <f>H16-I16</f>
        <v>-1</v>
      </c>
    </row>
    <row r="17" spans="1:10" ht="30" customHeight="1" thickBot="1" x14ac:dyDescent="0.3">
      <c r="A17" s="28"/>
      <c r="B17" s="646">
        <v>7</v>
      </c>
      <c r="C17" s="647" t="s">
        <v>126</v>
      </c>
      <c r="D17" s="648" t="s">
        <v>34</v>
      </c>
      <c r="E17" s="648" t="s">
        <v>34</v>
      </c>
      <c r="F17" s="649" t="s">
        <v>125</v>
      </c>
      <c r="G17" s="650" t="s">
        <v>35</v>
      </c>
      <c r="H17" s="650"/>
      <c r="I17" s="651">
        <v>1</v>
      </c>
      <c r="J17" s="652">
        <f>H17-I17</f>
        <v>-1</v>
      </c>
    </row>
    <row r="19" spans="1:10" ht="15" customHeight="1" x14ac:dyDescent="0.25">
      <c r="H19" s="402" t="str">
        <f>GURU!R35</f>
        <v>Karangtengah, Agustus 2025</v>
      </c>
      <c r="I19" s="402"/>
      <c r="J19" s="402"/>
    </row>
    <row r="20" spans="1:10" ht="15" customHeight="1" x14ac:dyDescent="0.25">
      <c r="H20" s="402" t="str">
        <f>GURU!R36</f>
        <v>Kepala SMP Negeri 2 Karangtengah</v>
      </c>
      <c r="I20" s="402"/>
      <c r="J20" s="402"/>
    </row>
    <row r="21" spans="1:10" ht="15" customHeight="1" x14ac:dyDescent="0.25">
      <c r="H21" s="3"/>
      <c r="I21" s="3"/>
      <c r="J21" s="3"/>
    </row>
    <row r="22" spans="1:10" ht="15" customHeight="1" x14ac:dyDescent="0.25">
      <c r="H22" s="3"/>
      <c r="I22" s="3"/>
      <c r="J22" s="3"/>
    </row>
    <row r="23" spans="1:10" ht="15" customHeight="1" x14ac:dyDescent="0.25">
      <c r="H23" s="3"/>
      <c r="I23" s="3"/>
      <c r="J23" s="3"/>
    </row>
    <row r="24" spans="1:10" ht="15" customHeight="1" x14ac:dyDescent="0.25">
      <c r="H24" s="404" t="str">
        <f>GURU!R40</f>
        <v>Priyantono, S.Pd., M.Pd.</v>
      </c>
      <c r="I24" s="404"/>
      <c r="J24" s="404"/>
    </row>
    <row r="25" spans="1:10" ht="15.75" customHeight="1" x14ac:dyDescent="0.25">
      <c r="H25" s="402" t="str">
        <f>GURU!R41</f>
        <v>Pembina Utama Muda, IV/c</v>
      </c>
      <c r="I25" s="402"/>
      <c r="J25" s="402"/>
    </row>
    <row r="26" spans="1:10" ht="15.75" customHeight="1" x14ac:dyDescent="0.25">
      <c r="H26" s="402" t="str">
        <f>GURU!R42</f>
        <v>NIP. 196902251994031005</v>
      </c>
      <c r="I26" s="402"/>
      <c r="J26" s="402"/>
    </row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8">
    <mergeCell ref="A1:J1"/>
    <mergeCell ref="A2:J2"/>
    <mergeCell ref="A3:J3"/>
    <mergeCell ref="H19:J19"/>
    <mergeCell ref="H20:J20"/>
    <mergeCell ref="H24:J24"/>
    <mergeCell ref="H25:J25"/>
    <mergeCell ref="H26:J26"/>
  </mergeCells>
  <printOptions horizontalCentered="1"/>
  <pageMargins left="3.937007874015748E-2" right="3.937007874015748E-2" top="3.937007874015748E-2" bottom="3.937007874015748E-2" header="3.937007874015748E-2" footer="3.937007874015748E-2"/>
  <pageSetup paperSize="20000" scale="9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1000"/>
  <sheetViews>
    <sheetView view="pageBreakPreview" zoomScale="60" zoomScaleNormal="100" workbookViewId="0">
      <selection activeCell="P36" sqref="P36"/>
    </sheetView>
  </sheetViews>
  <sheetFormatPr defaultColWidth="14.42578125" defaultRowHeight="15" customHeight="1" x14ac:dyDescent="0.25"/>
  <cols>
    <col min="1" max="1" width="9.140625" customWidth="1"/>
    <col min="2" max="2" width="3" bestFit="1" customWidth="1"/>
    <col min="3" max="3" width="8.7109375" customWidth="1"/>
    <col min="4" max="4" width="3" bestFit="1" customWidth="1"/>
    <col min="5" max="5" width="7.140625" bestFit="1" customWidth="1"/>
    <col min="6" max="6" width="6.28515625" bestFit="1" customWidth="1"/>
    <col min="7" max="7" width="6.7109375" bestFit="1" customWidth="1"/>
    <col min="8" max="8" width="4" bestFit="1" customWidth="1"/>
    <col min="9" max="9" width="6.5703125" customWidth="1"/>
    <col min="10" max="10" width="2.5703125" bestFit="1" customWidth="1"/>
    <col min="11" max="11" width="8" customWidth="1"/>
    <col min="12" max="12" width="8.7109375" customWidth="1"/>
    <col min="13" max="13" width="17.85546875" customWidth="1"/>
    <col min="14" max="14" width="15.5703125" customWidth="1"/>
    <col min="15" max="15" width="5.140625" customWidth="1"/>
    <col min="16" max="16" width="15.5703125" customWidth="1"/>
    <col min="17" max="17" width="17.85546875" customWidth="1"/>
    <col min="18" max="18" width="5.42578125" customWidth="1"/>
    <col min="19" max="19" width="4.85546875" customWidth="1"/>
    <col min="20" max="20" width="46.140625" customWidth="1"/>
    <col min="21" max="21" width="16.140625" customWidth="1"/>
    <col min="22" max="22" width="14.85546875" customWidth="1"/>
    <col min="23" max="23" width="4.42578125" customWidth="1"/>
    <col min="24" max="24" width="48.140625" customWidth="1"/>
    <col min="25" max="25" width="28.7109375" bestFit="1" customWidth="1"/>
    <col min="26" max="26" width="8.7109375" customWidth="1"/>
    <col min="27" max="27" width="17.28515625" customWidth="1"/>
    <col min="28" max="40" width="8.7109375" customWidth="1"/>
  </cols>
  <sheetData>
    <row r="1" spans="1:40" ht="18.75" customHeight="1" x14ac:dyDescent="0.25">
      <c r="A1" s="415" t="s">
        <v>127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5"/>
      <c r="O1" s="415"/>
      <c r="P1" s="415"/>
      <c r="Q1" s="415"/>
      <c r="R1" s="415"/>
      <c r="S1" s="415"/>
      <c r="T1" s="415"/>
      <c r="U1" s="415"/>
      <c r="V1" s="415"/>
      <c r="W1" s="415"/>
      <c r="X1" s="415"/>
      <c r="Y1" s="57"/>
      <c r="Z1" s="57"/>
      <c r="AA1" s="57"/>
      <c r="AB1" s="57"/>
      <c r="AC1" s="57"/>
    </row>
    <row r="2" spans="1:40" ht="18.75" customHeight="1" x14ac:dyDescent="0.25">
      <c r="A2" s="415" t="s">
        <v>128</v>
      </c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5"/>
      <c r="U2" s="415"/>
      <c r="V2" s="415"/>
      <c r="W2" s="415"/>
      <c r="X2" s="415"/>
      <c r="Y2" s="57"/>
      <c r="Z2" s="57"/>
      <c r="AA2" s="57"/>
      <c r="AB2" s="57"/>
      <c r="AC2" s="57"/>
    </row>
    <row r="3" spans="1:40" ht="18" x14ac:dyDescent="0.25">
      <c r="A3" s="416" t="s">
        <v>129</v>
      </c>
      <c r="B3" s="416"/>
      <c r="C3" s="416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16"/>
      <c r="S3" s="416"/>
      <c r="T3" s="416"/>
      <c r="U3" s="416"/>
      <c r="V3" s="416"/>
      <c r="W3" s="416"/>
      <c r="X3" s="416"/>
      <c r="Y3" s="51"/>
      <c r="Z3" s="51"/>
      <c r="AA3" s="51"/>
      <c r="AB3" s="51"/>
      <c r="AC3" s="5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2"/>
    </row>
    <row r="4" spans="1:40" ht="19.5" thickBot="1" x14ac:dyDescent="0.3">
      <c r="A4" s="34"/>
      <c r="B4" s="34"/>
      <c r="C4" s="34"/>
      <c r="D4" s="34"/>
      <c r="E4" s="34"/>
      <c r="F4" s="34"/>
      <c r="G4" s="34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6"/>
      <c r="T4" s="36"/>
      <c r="U4" s="36"/>
      <c r="V4" s="36"/>
      <c r="W4" s="36"/>
      <c r="X4" s="36"/>
      <c r="Y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spans="1:40" ht="17.25" customHeight="1" thickBot="1" x14ac:dyDescent="0.25">
      <c r="H5" s="78"/>
      <c r="I5" s="676" t="s">
        <v>131</v>
      </c>
      <c r="J5" s="677"/>
      <c r="K5" s="677"/>
      <c r="L5" s="677"/>
      <c r="M5" s="678"/>
      <c r="N5" s="80"/>
      <c r="O5" s="80"/>
      <c r="P5" s="80"/>
      <c r="Q5" s="80"/>
      <c r="R5" s="80"/>
      <c r="AD5" s="74"/>
      <c r="AE5" s="74"/>
      <c r="AF5" s="74"/>
      <c r="AG5" s="37"/>
      <c r="AH5" s="37"/>
    </row>
    <row r="6" spans="1:40" ht="17.25" customHeight="1" thickBot="1" x14ac:dyDescent="0.3">
      <c r="A6" s="666" t="s">
        <v>130</v>
      </c>
      <c r="B6" s="667"/>
      <c r="C6" s="667"/>
      <c r="D6" s="667"/>
      <c r="E6" s="667"/>
      <c r="F6" s="667"/>
      <c r="G6" s="668"/>
      <c r="H6" s="78"/>
      <c r="I6" s="679" t="s">
        <v>138</v>
      </c>
      <c r="J6" s="675"/>
      <c r="K6" s="675"/>
      <c r="L6" s="675"/>
      <c r="M6" s="680"/>
      <c r="N6" s="81"/>
      <c r="O6" s="81"/>
      <c r="P6" s="81"/>
      <c r="Q6" s="81"/>
      <c r="R6" s="81"/>
      <c r="S6" s="712" t="s">
        <v>132</v>
      </c>
      <c r="T6" s="713"/>
      <c r="U6" s="713"/>
      <c r="V6" s="713"/>
      <c r="W6" s="713"/>
      <c r="X6" s="714"/>
      <c r="Y6" s="74"/>
      <c r="AD6" s="75"/>
      <c r="AE6" s="75"/>
      <c r="AF6" s="75"/>
      <c r="AG6" s="39"/>
      <c r="AH6" s="39"/>
    </row>
    <row r="7" spans="1:40" ht="17.25" customHeight="1" thickBot="1" x14ac:dyDescent="0.3">
      <c r="A7" s="669" t="s">
        <v>133</v>
      </c>
      <c r="B7" s="664" t="s">
        <v>134</v>
      </c>
      <c r="C7" s="664" t="s">
        <v>135</v>
      </c>
      <c r="D7" s="664" t="s">
        <v>134</v>
      </c>
      <c r="E7" s="665" t="s">
        <v>34</v>
      </c>
      <c r="F7" s="664" t="s">
        <v>136</v>
      </c>
      <c r="G7" s="670" t="s">
        <v>137</v>
      </c>
      <c r="H7" s="79"/>
      <c r="I7" s="681" t="s">
        <v>106</v>
      </c>
      <c r="J7" s="682"/>
      <c r="K7" s="682"/>
      <c r="L7" s="682"/>
      <c r="M7" s="683"/>
      <c r="N7" s="81"/>
      <c r="O7" s="81"/>
      <c r="P7" s="81"/>
      <c r="Q7" s="81"/>
      <c r="R7" s="81"/>
      <c r="S7" s="708">
        <v>1</v>
      </c>
      <c r="T7" s="709" t="s">
        <v>138</v>
      </c>
      <c r="U7" s="710" t="s">
        <v>225</v>
      </c>
      <c r="V7" s="710"/>
      <c r="W7" s="710"/>
      <c r="X7" s="711"/>
      <c r="Y7" s="75"/>
      <c r="AD7" s="75"/>
      <c r="AE7" s="75"/>
      <c r="AF7" s="75"/>
      <c r="AG7" s="39"/>
      <c r="AH7" s="39"/>
    </row>
    <row r="8" spans="1:40" ht="17.25" customHeight="1" thickBot="1" x14ac:dyDescent="0.3">
      <c r="A8" s="671" t="s">
        <v>139</v>
      </c>
      <c r="B8" s="672" t="s">
        <v>134</v>
      </c>
      <c r="C8" s="672" t="s">
        <v>140</v>
      </c>
      <c r="D8" s="672" t="s">
        <v>134</v>
      </c>
      <c r="E8" s="673" t="s">
        <v>34</v>
      </c>
      <c r="F8" s="672" t="s">
        <v>141</v>
      </c>
      <c r="G8" s="674" t="s">
        <v>142</v>
      </c>
      <c r="H8" s="35"/>
      <c r="I8" s="35"/>
      <c r="J8" s="35"/>
      <c r="K8" s="35"/>
      <c r="L8" s="43"/>
      <c r="O8" s="35"/>
      <c r="P8" s="35"/>
      <c r="Q8" s="35"/>
      <c r="R8" s="35"/>
      <c r="S8" s="702">
        <v>2</v>
      </c>
      <c r="T8" s="89" t="s">
        <v>64</v>
      </c>
      <c r="U8" s="413" t="str">
        <f>GURU!O21</f>
        <v>Guru Piket, Bendahara Gaji</v>
      </c>
      <c r="V8" s="413"/>
      <c r="W8" s="413"/>
      <c r="X8" s="703"/>
      <c r="Y8" s="75"/>
      <c r="AD8" s="75"/>
      <c r="AE8" s="75"/>
      <c r="AF8" s="75"/>
      <c r="AG8" s="44"/>
      <c r="AH8" s="44"/>
      <c r="AI8" s="44"/>
      <c r="AJ8" s="44"/>
      <c r="AK8" s="44"/>
      <c r="AL8" s="44"/>
      <c r="AM8" s="44"/>
      <c r="AN8" s="36"/>
    </row>
    <row r="9" spans="1:40" ht="17.25" customHeight="1" thickBot="1" x14ac:dyDescent="0.3">
      <c r="A9" s="35"/>
      <c r="B9" s="35"/>
      <c r="C9" s="40"/>
      <c r="D9" s="41"/>
      <c r="E9" s="35"/>
      <c r="F9" s="35"/>
      <c r="G9" s="35"/>
      <c r="H9" s="35"/>
      <c r="I9" s="35"/>
      <c r="J9" s="35"/>
      <c r="K9" s="35"/>
      <c r="L9" s="43"/>
      <c r="O9" s="35"/>
      <c r="P9" s="35"/>
      <c r="Q9" s="35"/>
      <c r="R9" s="35"/>
      <c r="S9" s="702">
        <v>3</v>
      </c>
      <c r="T9" s="89" t="s">
        <v>92</v>
      </c>
      <c r="U9" s="413" t="str">
        <f>GURU!O32</f>
        <v>Pembina Ekstrakurikuler, Pembina UKS, Guru Piket, Waka Humas</v>
      </c>
      <c r="V9" s="413"/>
      <c r="W9" s="413"/>
      <c r="X9" s="703"/>
      <c r="Y9" s="75"/>
      <c r="AD9" s="75"/>
      <c r="AE9" s="75"/>
      <c r="AF9" s="75"/>
      <c r="AG9" s="33"/>
      <c r="AH9" s="33"/>
      <c r="AI9" s="33"/>
      <c r="AJ9" s="33"/>
      <c r="AK9" s="33"/>
      <c r="AL9" s="33"/>
      <c r="AM9" s="33"/>
      <c r="AN9" s="36"/>
    </row>
    <row r="10" spans="1:40" ht="17.25" customHeight="1" thickBot="1" x14ac:dyDescent="0.3">
      <c r="A10" s="666" t="s">
        <v>143</v>
      </c>
      <c r="B10" s="667"/>
      <c r="C10" s="667"/>
      <c r="D10" s="667"/>
      <c r="E10" s="667"/>
      <c r="F10" s="667"/>
      <c r="G10" s="667"/>
      <c r="H10" s="667"/>
      <c r="I10" s="667"/>
      <c r="J10" s="668"/>
      <c r="K10" s="35"/>
      <c r="L10" s="45"/>
      <c r="M10" s="46"/>
      <c r="N10" s="45"/>
      <c r="O10" s="46"/>
      <c r="P10" s="47"/>
      <c r="Q10" s="35"/>
      <c r="R10" s="35"/>
      <c r="S10" s="702">
        <v>4</v>
      </c>
      <c r="T10" s="89" t="s">
        <v>76</v>
      </c>
      <c r="U10" s="413" t="str">
        <f>GURU!O25</f>
        <v>Guru Piket, Bendahara BOSP</v>
      </c>
      <c r="V10" s="413"/>
      <c r="W10" s="413"/>
      <c r="X10" s="703"/>
      <c r="Y10" s="75"/>
      <c r="AD10" s="75"/>
      <c r="AE10" s="75"/>
      <c r="AF10" s="75"/>
      <c r="AG10" s="36"/>
      <c r="AH10" s="36"/>
      <c r="AI10" s="36"/>
      <c r="AJ10" s="36"/>
      <c r="AK10" s="36"/>
      <c r="AL10" s="36"/>
      <c r="AM10" s="36"/>
      <c r="AN10" s="36"/>
    </row>
    <row r="11" spans="1:40" ht="17.25" customHeight="1" thickBot="1" x14ac:dyDescent="0.3">
      <c r="A11" s="686" t="s">
        <v>144</v>
      </c>
      <c r="B11" s="685" t="s">
        <v>34</v>
      </c>
      <c r="C11" s="664" t="s">
        <v>145</v>
      </c>
      <c r="D11" s="685">
        <v>3</v>
      </c>
      <c r="E11" s="684" t="s">
        <v>146</v>
      </c>
      <c r="F11" s="685"/>
      <c r="G11" s="684" t="s">
        <v>147</v>
      </c>
      <c r="H11" s="685" t="s">
        <v>34</v>
      </c>
      <c r="I11" s="664" t="s">
        <v>148</v>
      </c>
      <c r="J11" s="687" t="s">
        <v>34</v>
      </c>
      <c r="K11" s="35"/>
      <c r="L11" s="85"/>
      <c r="M11" s="35"/>
      <c r="N11" s="43"/>
      <c r="O11" s="35"/>
      <c r="P11" s="79"/>
      <c r="Q11" s="43"/>
      <c r="R11" s="35"/>
      <c r="S11" s="702">
        <v>5</v>
      </c>
      <c r="T11" s="89" t="s">
        <v>47</v>
      </c>
      <c r="U11" s="413" t="str">
        <f>GURU!O16</f>
        <v>Wali Kelas, Guru Piket</v>
      </c>
      <c r="V11" s="413"/>
      <c r="W11" s="413"/>
      <c r="X11" s="703"/>
      <c r="Y11" s="75"/>
      <c r="AD11" s="77"/>
      <c r="AE11" s="77"/>
      <c r="AF11" s="77"/>
      <c r="AG11" s="36"/>
      <c r="AH11" s="36"/>
      <c r="AI11" s="36"/>
      <c r="AJ11" s="36"/>
      <c r="AK11" s="36"/>
      <c r="AL11" s="36"/>
      <c r="AM11" s="36"/>
      <c r="AN11" s="36"/>
    </row>
    <row r="12" spans="1:40" ht="17.25" customHeight="1" x14ac:dyDescent="0.25">
      <c r="A12" s="688" t="s">
        <v>149</v>
      </c>
      <c r="B12" s="49" t="s">
        <v>34</v>
      </c>
      <c r="C12" s="38" t="s">
        <v>150</v>
      </c>
      <c r="D12" s="50" t="s">
        <v>34</v>
      </c>
      <c r="E12" s="48" t="s">
        <v>151</v>
      </c>
      <c r="F12" s="49">
        <v>5</v>
      </c>
      <c r="G12" s="38" t="s">
        <v>152</v>
      </c>
      <c r="H12" s="49" t="s">
        <v>34</v>
      </c>
      <c r="I12" s="38" t="s">
        <v>153</v>
      </c>
      <c r="J12" s="689" t="s">
        <v>34</v>
      </c>
      <c r="K12" s="51"/>
      <c r="L12" s="86"/>
      <c r="M12" s="694" t="s">
        <v>154</v>
      </c>
      <c r="N12" s="695"/>
      <c r="O12" s="72"/>
      <c r="P12" s="694" t="s">
        <v>154</v>
      </c>
      <c r="Q12" s="695"/>
      <c r="R12" s="72"/>
      <c r="S12" s="702">
        <v>6</v>
      </c>
      <c r="T12" s="89" t="s">
        <v>38</v>
      </c>
      <c r="U12" s="413" t="str">
        <f>GURU!O14</f>
        <v>Guru Piket, Koor. P5 Kelas 7, Wakasek, Waka Kesiswaan</v>
      </c>
      <c r="V12" s="413"/>
      <c r="W12" s="413"/>
      <c r="X12" s="703"/>
      <c r="Y12" s="77"/>
      <c r="AD12" s="76"/>
      <c r="AE12" s="76"/>
      <c r="AF12" s="76"/>
      <c r="AG12" s="37"/>
      <c r="AH12" s="37"/>
      <c r="AI12" s="37"/>
      <c r="AJ12" s="37"/>
      <c r="AK12" s="37"/>
      <c r="AL12" s="37"/>
      <c r="AM12" s="37"/>
      <c r="AN12" s="37"/>
    </row>
    <row r="13" spans="1:40" ht="17.25" customHeight="1" thickBot="1" x14ac:dyDescent="0.3">
      <c r="A13" s="688" t="s">
        <v>155</v>
      </c>
      <c r="B13" s="49">
        <v>3</v>
      </c>
      <c r="C13" s="38" t="s">
        <v>156</v>
      </c>
      <c r="D13" s="49">
        <v>3</v>
      </c>
      <c r="E13" s="48" t="s">
        <v>157</v>
      </c>
      <c r="F13" s="49" t="s">
        <v>34</v>
      </c>
      <c r="G13" s="38" t="s">
        <v>158</v>
      </c>
      <c r="H13" s="49" t="s">
        <v>34</v>
      </c>
      <c r="I13" s="38" t="s">
        <v>159</v>
      </c>
      <c r="J13" s="689" t="s">
        <v>34</v>
      </c>
      <c r="K13" s="51"/>
      <c r="L13" s="86"/>
      <c r="M13" s="700" t="s">
        <v>160</v>
      </c>
      <c r="N13" s="701"/>
      <c r="O13" s="72"/>
      <c r="P13" s="700" t="s">
        <v>161</v>
      </c>
      <c r="Q13" s="701"/>
      <c r="R13" s="72"/>
      <c r="S13" s="702">
        <v>7</v>
      </c>
      <c r="T13" s="89" t="s">
        <v>57</v>
      </c>
      <c r="U13" s="413" t="str">
        <f>GURU!O19</f>
        <v>Wali Kelas, Waka Sarpras, Guru Piket</v>
      </c>
      <c r="V13" s="413"/>
      <c r="W13" s="413"/>
      <c r="X13" s="703"/>
      <c r="Y13" s="76"/>
      <c r="AD13" s="76"/>
      <c r="AE13" s="76"/>
      <c r="AF13" s="76"/>
      <c r="AG13" s="37"/>
      <c r="AH13" s="37"/>
      <c r="AI13" s="37"/>
      <c r="AJ13" s="37"/>
      <c r="AK13" s="37"/>
      <c r="AL13" s="37"/>
      <c r="AM13" s="37"/>
      <c r="AN13" s="37"/>
    </row>
    <row r="14" spans="1:40" ht="17.25" customHeight="1" x14ac:dyDescent="0.25">
      <c r="A14" s="688" t="s">
        <v>162</v>
      </c>
      <c r="B14" s="49">
        <v>1</v>
      </c>
      <c r="C14" s="38" t="s">
        <v>163</v>
      </c>
      <c r="D14" s="49">
        <v>1</v>
      </c>
      <c r="E14" s="48" t="s">
        <v>164</v>
      </c>
      <c r="F14" s="49" t="s">
        <v>34</v>
      </c>
      <c r="G14" s="38" t="s">
        <v>165</v>
      </c>
      <c r="H14" s="49" t="s">
        <v>34</v>
      </c>
      <c r="I14" s="38" t="s">
        <v>166</v>
      </c>
      <c r="J14" s="689" t="s">
        <v>34</v>
      </c>
      <c r="K14" s="35"/>
      <c r="L14" s="85"/>
      <c r="M14" s="698" t="s">
        <v>70</v>
      </c>
      <c r="N14" s="699"/>
      <c r="O14" s="72"/>
      <c r="P14" s="698" t="s">
        <v>38</v>
      </c>
      <c r="Q14" s="699"/>
      <c r="R14" s="72"/>
      <c r="S14" s="702">
        <v>8</v>
      </c>
      <c r="T14" s="89" t="s">
        <v>70</v>
      </c>
      <c r="U14" s="413" t="str">
        <f>GURU!O23</f>
        <v>Waka Kurikulum, Guru Piket, Koor. PKG</v>
      </c>
      <c r="V14" s="413"/>
      <c r="W14" s="413"/>
      <c r="X14" s="703"/>
      <c r="Y14" s="76"/>
      <c r="AD14" s="76"/>
      <c r="AE14" s="76"/>
      <c r="AF14" s="76"/>
      <c r="AG14" s="52"/>
      <c r="AH14" s="52"/>
      <c r="AI14" s="52"/>
      <c r="AJ14" s="52"/>
      <c r="AK14" s="52"/>
      <c r="AL14" s="52"/>
      <c r="AM14" s="52"/>
      <c r="AN14" s="52"/>
    </row>
    <row r="15" spans="1:40" ht="17.25" customHeight="1" thickBot="1" x14ac:dyDescent="0.3">
      <c r="A15" s="690" t="s">
        <v>167</v>
      </c>
      <c r="B15" s="691">
        <v>3</v>
      </c>
      <c r="C15" s="672" t="s">
        <v>168</v>
      </c>
      <c r="D15" s="691" t="s">
        <v>34</v>
      </c>
      <c r="E15" s="692" t="s">
        <v>169</v>
      </c>
      <c r="F15" s="691" t="s">
        <v>34</v>
      </c>
      <c r="G15" s="672" t="s">
        <v>170</v>
      </c>
      <c r="H15" s="691" t="s">
        <v>34</v>
      </c>
      <c r="I15" s="692"/>
      <c r="J15" s="693"/>
      <c r="K15" s="35"/>
      <c r="L15" s="85"/>
      <c r="M15" s="696" t="s">
        <v>171</v>
      </c>
      <c r="N15" s="697"/>
      <c r="O15" s="72"/>
      <c r="P15" s="696" t="s">
        <v>172</v>
      </c>
      <c r="Q15" s="697"/>
      <c r="R15" s="72"/>
      <c r="S15" s="702">
        <v>9</v>
      </c>
      <c r="T15" s="89" t="s">
        <v>53</v>
      </c>
      <c r="U15" s="413" t="str">
        <f>GURU!O17</f>
        <v>Wali Kelas, Guru Piket</v>
      </c>
      <c r="V15" s="413"/>
      <c r="W15" s="413"/>
      <c r="X15" s="703"/>
      <c r="Y15" s="76"/>
      <c r="AD15" s="76"/>
      <c r="AE15" s="76"/>
      <c r="AF15" s="76"/>
      <c r="AG15" s="52"/>
      <c r="AH15" s="52"/>
      <c r="AI15" s="52"/>
      <c r="AJ15" s="52"/>
      <c r="AK15" s="52"/>
      <c r="AL15" s="52"/>
      <c r="AM15" s="52"/>
      <c r="AN15" s="52"/>
    </row>
    <row r="16" spans="1:40" ht="17.25" customHeight="1" x14ac:dyDescent="0.25">
      <c r="A16" s="35"/>
      <c r="B16" s="40"/>
      <c r="C16" s="35"/>
      <c r="D16" s="54"/>
      <c r="E16" s="35"/>
      <c r="F16" s="40"/>
      <c r="G16" s="54"/>
      <c r="H16" s="35"/>
      <c r="I16" s="35"/>
      <c r="J16" s="35"/>
      <c r="K16" s="35"/>
      <c r="L16" s="85"/>
      <c r="O16" s="35"/>
      <c r="P16" s="55"/>
      <c r="Q16" s="55"/>
      <c r="R16" s="55"/>
      <c r="S16" s="702">
        <v>10</v>
      </c>
      <c r="T16" s="89" t="s">
        <v>83</v>
      </c>
      <c r="U16" s="413" t="str">
        <f>GURU!O28</f>
        <v>Wali Kelas, Koor. STP2K, Guru Piket</v>
      </c>
      <c r="V16" s="413"/>
      <c r="W16" s="413"/>
      <c r="X16" s="703"/>
      <c r="Y16" s="76"/>
      <c r="AD16" s="76"/>
      <c r="AE16" s="76"/>
      <c r="AF16" s="76"/>
      <c r="AG16" s="56"/>
      <c r="AH16" s="56"/>
      <c r="AI16" s="56"/>
      <c r="AJ16" s="56"/>
      <c r="AK16" s="36"/>
      <c r="AL16" s="36"/>
      <c r="AM16" s="36"/>
      <c r="AN16" s="36"/>
    </row>
    <row r="17" spans="1:40" ht="17.25" customHeight="1" x14ac:dyDescent="0.25">
      <c r="A17" s="35"/>
      <c r="B17" s="35"/>
      <c r="C17" s="35"/>
      <c r="D17" s="35"/>
      <c r="E17" s="83"/>
      <c r="F17" s="83"/>
      <c r="G17" s="83"/>
      <c r="H17" s="83"/>
      <c r="I17" s="83"/>
      <c r="J17" s="83"/>
      <c r="K17" s="83"/>
      <c r="L17" s="87"/>
      <c r="M17" s="35"/>
      <c r="N17" s="35"/>
      <c r="O17" s="35"/>
      <c r="P17" s="35"/>
      <c r="Q17" s="35"/>
      <c r="S17" s="702">
        <v>11</v>
      </c>
      <c r="T17" s="89" t="s">
        <v>28</v>
      </c>
      <c r="U17" s="413" t="str">
        <f>GURU!O12</f>
        <v>Wali Kelas, Guru Piket</v>
      </c>
      <c r="V17" s="413"/>
      <c r="W17" s="413"/>
      <c r="X17" s="703"/>
      <c r="Y17" s="76"/>
      <c r="AD17" s="76"/>
      <c r="AE17" s="76"/>
      <c r="AF17" s="76"/>
      <c r="AG17" s="32"/>
      <c r="AH17" s="32"/>
      <c r="AI17" s="32"/>
      <c r="AJ17" s="32"/>
      <c r="AK17" s="32"/>
      <c r="AL17" s="32"/>
      <c r="AM17" s="32"/>
      <c r="AN17" s="36"/>
    </row>
    <row r="18" spans="1:40" ht="17.25" customHeight="1" x14ac:dyDescent="0.25">
      <c r="A18" s="35"/>
      <c r="B18" s="35"/>
      <c r="C18" s="35"/>
      <c r="D18" s="42"/>
      <c r="E18" s="79"/>
      <c r="F18" s="79"/>
      <c r="G18" s="79"/>
      <c r="H18" s="79"/>
      <c r="I18" s="73"/>
      <c r="J18" s="73"/>
      <c r="K18" s="73"/>
      <c r="L18" s="46"/>
      <c r="M18" s="46"/>
      <c r="N18" s="47"/>
      <c r="O18" s="35"/>
      <c r="P18" s="35"/>
      <c r="Q18" s="35"/>
      <c r="S18" s="702">
        <v>12</v>
      </c>
      <c r="T18" s="89" t="s">
        <v>79</v>
      </c>
      <c r="U18" s="413" t="str">
        <f>GURU!O26</f>
        <v>Wali Kelas, Guru Piket, Tim STP2K, Ka Laboratorium</v>
      </c>
      <c r="V18" s="413"/>
      <c r="W18" s="413"/>
      <c r="X18" s="703"/>
      <c r="Y18" s="76"/>
      <c r="AD18" s="76"/>
      <c r="AE18" s="76"/>
      <c r="AF18" s="76"/>
      <c r="AG18" s="32"/>
      <c r="AH18" s="32"/>
      <c r="AI18" s="32"/>
      <c r="AJ18" s="32"/>
      <c r="AK18" s="32"/>
      <c r="AL18" s="32"/>
      <c r="AM18" s="32"/>
      <c r="AN18" s="36"/>
    </row>
    <row r="19" spans="1:40" ht="17.25" customHeight="1" x14ac:dyDescent="0.25">
      <c r="A19" s="35"/>
      <c r="B19" s="35"/>
      <c r="C19" s="35"/>
      <c r="D19" s="42"/>
      <c r="E19" s="35"/>
      <c r="F19" s="35"/>
      <c r="G19" s="35"/>
      <c r="H19" s="35"/>
      <c r="L19" s="35"/>
      <c r="M19" s="35"/>
      <c r="N19" s="42"/>
      <c r="O19" s="35"/>
      <c r="P19" s="35"/>
      <c r="Q19" s="35"/>
      <c r="S19" s="702">
        <v>13</v>
      </c>
      <c r="T19" s="89" t="s">
        <v>61</v>
      </c>
      <c r="U19" s="413" t="str">
        <f>GURU!O20</f>
        <v>Wali kelas, Guru Piket</v>
      </c>
      <c r="V19" s="413"/>
      <c r="W19" s="413"/>
      <c r="X19" s="703"/>
      <c r="Y19" s="76"/>
      <c r="AD19" s="76"/>
      <c r="AE19" s="76"/>
      <c r="AF19" s="76"/>
      <c r="AG19" s="37"/>
      <c r="AH19" s="37"/>
      <c r="AI19" s="37"/>
      <c r="AJ19" s="37"/>
    </row>
    <row r="20" spans="1:40" ht="17.25" customHeight="1" thickBot="1" x14ac:dyDescent="0.3">
      <c r="A20" s="79"/>
      <c r="B20" s="84"/>
      <c r="C20" s="84"/>
      <c r="D20" s="42"/>
      <c r="E20" s="79"/>
      <c r="F20" s="79"/>
      <c r="G20" s="79"/>
      <c r="H20" s="79"/>
      <c r="L20" s="79"/>
      <c r="M20" s="79"/>
      <c r="N20" s="42"/>
      <c r="O20" s="79"/>
      <c r="P20" s="79"/>
      <c r="Q20" s="79"/>
      <c r="S20" s="702">
        <v>14</v>
      </c>
      <c r="T20" s="89" t="s">
        <v>73</v>
      </c>
      <c r="U20" s="413" t="str">
        <f>GURU!O24</f>
        <v>Wali Kelas, Guru piket</v>
      </c>
      <c r="V20" s="413"/>
      <c r="W20" s="413"/>
      <c r="X20" s="703"/>
      <c r="Y20" s="76"/>
      <c r="AD20" s="76"/>
      <c r="AE20" s="76"/>
      <c r="AF20" s="76"/>
      <c r="AG20" s="53"/>
      <c r="AH20" s="53"/>
      <c r="AI20" s="53"/>
      <c r="AJ20" s="53"/>
    </row>
    <row r="21" spans="1:40" ht="18.75" customHeight="1" thickBot="1" x14ac:dyDescent="0.3">
      <c r="A21" s="716" t="s">
        <v>173</v>
      </c>
      <c r="B21" s="717"/>
      <c r="C21" s="717"/>
      <c r="D21" s="717"/>
      <c r="E21" s="717"/>
      <c r="F21" s="717"/>
      <c r="G21" s="718" t="s">
        <v>174</v>
      </c>
      <c r="H21" s="719" t="s">
        <v>175</v>
      </c>
      <c r="L21" s="728" t="s">
        <v>176</v>
      </c>
      <c r="M21" s="729"/>
      <c r="N21" s="729"/>
      <c r="O21" s="729"/>
      <c r="P21" s="718" t="s">
        <v>174</v>
      </c>
      <c r="Q21" s="719" t="s">
        <v>175</v>
      </c>
      <c r="S21" s="702">
        <v>15</v>
      </c>
      <c r="T21" s="89" t="s">
        <v>95</v>
      </c>
      <c r="U21" s="413" t="str">
        <f>GURU!O33</f>
        <v>Guru Piket, Tim STP2K</v>
      </c>
      <c r="V21" s="413"/>
      <c r="W21" s="413"/>
      <c r="X21" s="703"/>
      <c r="Y21" s="76"/>
      <c r="AD21" s="76"/>
      <c r="AE21" s="76"/>
      <c r="AF21" s="76"/>
    </row>
    <row r="22" spans="1:40" ht="34.5" customHeight="1" x14ac:dyDescent="0.25">
      <c r="A22" s="720" t="s">
        <v>177</v>
      </c>
      <c r="B22" s="710"/>
      <c r="C22" s="710"/>
      <c r="D22" s="710"/>
      <c r="E22" s="710"/>
      <c r="F22" s="710"/>
      <c r="G22" s="715">
        <f>GURU!T12</f>
        <v>2</v>
      </c>
      <c r="H22" s="721">
        <f>GURU!U12</f>
        <v>-1.2083333333333335</v>
      </c>
      <c r="L22" s="730" t="s">
        <v>178</v>
      </c>
      <c r="M22" s="727"/>
      <c r="N22" s="727"/>
      <c r="O22" s="727"/>
      <c r="P22" s="715">
        <v>1</v>
      </c>
      <c r="Q22" s="731">
        <f>'TATA USAHA'!J11</f>
        <v>-1</v>
      </c>
      <c r="S22" s="702">
        <v>16</v>
      </c>
      <c r="T22" s="89" t="s">
        <v>255</v>
      </c>
      <c r="U22" s="413" t="str">
        <f>GURU!O15</f>
        <v>Wali Kelas, Guru Piket, Koor P5 Kelas 8, Tim STP2K, Ka Perpus</v>
      </c>
      <c r="V22" s="413"/>
      <c r="W22" s="413"/>
      <c r="X22" s="703"/>
      <c r="Y22" s="76"/>
      <c r="AD22" s="76"/>
      <c r="AE22" s="76"/>
      <c r="AF22" s="76"/>
    </row>
    <row r="23" spans="1:40" ht="34.5" customHeight="1" x14ac:dyDescent="0.25">
      <c r="A23" s="722" t="s">
        <v>179</v>
      </c>
      <c r="B23" s="413"/>
      <c r="C23" s="413"/>
      <c r="D23" s="413"/>
      <c r="E23" s="413"/>
      <c r="F23" s="413"/>
      <c r="G23" s="82">
        <f>GURU!T14</f>
        <v>2</v>
      </c>
      <c r="H23" s="723">
        <f>GURU!U14</f>
        <v>-0.875</v>
      </c>
      <c r="L23" s="732" t="s">
        <v>116</v>
      </c>
      <c r="M23" s="414"/>
      <c r="N23" s="414"/>
      <c r="O23" s="414"/>
      <c r="P23" s="82">
        <v>1</v>
      </c>
      <c r="Q23" s="733">
        <f>'TATA USAHA'!J12</f>
        <v>-1</v>
      </c>
      <c r="S23" s="702">
        <v>17</v>
      </c>
      <c r="T23" s="89" t="s">
        <v>81</v>
      </c>
      <c r="U23" s="413" t="str">
        <f>GURU!O27</f>
        <v>Guru Piket, Koor. PKG, Tim STP2K, Koor. P5 Kelas 9, Dapodik, Bendahara Aset</v>
      </c>
      <c r="V23" s="413"/>
      <c r="W23" s="413"/>
      <c r="X23" s="703"/>
      <c r="Y23" s="76"/>
      <c r="AD23" s="76"/>
      <c r="AE23" s="76"/>
      <c r="AF23" s="76"/>
    </row>
    <row r="24" spans="1:40" ht="34.5" customHeight="1" x14ac:dyDescent="0.25">
      <c r="A24" s="722" t="s">
        <v>180</v>
      </c>
      <c r="B24" s="413"/>
      <c r="C24" s="413"/>
      <c r="D24" s="413"/>
      <c r="E24" s="413"/>
      <c r="F24" s="413"/>
      <c r="G24" s="82">
        <f>GURU!T16</f>
        <v>3</v>
      </c>
      <c r="H24" s="723">
        <f>GURU!U16</f>
        <v>0.375</v>
      </c>
      <c r="L24" s="732" t="s">
        <v>123</v>
      </c>
      <c r="M24" s="414"/>
      <c r="N24" s="414"/>
      <c r="O24" s="414"/>
      <c r="P24" s="82">
        <v>1</v>
      </c>
      <c r="Q24" s="733">
        <f>'TATA USAHA'!J14</f>
        <v>-1</v>
      </c>
      <c r="S24" s="702">
        <v>18</v>
      </c>
      <c r="T24" s="89" t="s">
        <v>55</v>
      </c>
      <c r="U24" s="413" t="str">
        <f>GURU!O18</f>
        <v>Wali Kelas, Guru Piket, Petugas Perpus</v>
      </c>
      <c r="V24" s="413"/>
      <c r="W24" s="413"/>
      <c r="X24" s="703"/>
      <c r="Y24" s="76"/>
      <c r="AD24" s="76"/>
      <c r="AE24" s="76"/>
      <c r="AF24" s="76"/>
    </row>
    <row r="25" spans="1:40" ht="34.5" customHeight="1" x14ac:dyDescent="0.25">
      <c r="A25" s="722" t="s">
        <v>181</v>
      </c>
      <c r="B25" s="413"/>
      <c r="C25" s="413"/>
      <c r="D25" s="413"/>
      <c r="E25" s="413"/>
      <c r="F25" s="413"/>
      <c r="G25" s="82">
        <f>GURU!T19</f>
        <v>2</v>
      </c>
      <c r="H25" s="723">
        <f>GURU!U19</f>
        <v>4.1666666666666741E-2</v>
      </c>
      <c r="L25" s="732" t="s">
        <v>118</v>
      </c>
      <c r="M25" s="414"/>
      <c r="N25" s="414"/>
      <c r="O25" s="414"/>
      <c r="P25" s="82">
        <v>1</v>
      </c>
      <c r="Q25" s="733">
        <f>'TATA USAHA'!J13</f>
        <v>-1</v>
      </c>
      <c r="S25" s="702">
        <v>19</v>
      </c>
      <c r="T25" s="89" t="s">
        <v>87</v>
      </c>
      <c r="U25" s="413" t="str">
        <f>GURU!O30</f>
        <v>Wali Kelas, Guru Piket</v>
      </c>
      <c r="V25" s="413"/>
      <c r="W25" s="413"/>
      <c r="X25" s="703"/>
      <c r="Y25" s="76"/>
      <c r="AD25" s="76"/>
      <c r="AE25" s="76"/>
      <c r="AF25" s="76"/>
    </row>
    <row r="26" spans="1:40" ht="17.25" customHeight="1" x14ac:dyDescent="0.25">
      <c r="A26" s="722" t="s">
        <v>182</v>
      </c>
      <c r="B26" s="413"/>
      <c r="C26" s="413"/>
      <c r="D26" s="413"/>
      <c r="E26" s="413"/>
      <c r="F26" s="413"/>
      <c r="G26" s="82">
        <f>GURU!T21</f>
        <v>2</v>
      </c>
      <c r="H26" s="723">
        <f>GURU!U21</f>
        <v>0.125</v>
      </c>
      <c r="L26" s="732" t="s">
        <v>121</v>
      </c>
      <c r="M26" s="414"/>
      <c r="N26" s="414"/>
      <c r="O26" s="414"/>
      <c r="P26" s="82">
        <v>1</v>
      </c>
      <c r="Q26" s="733">
        <f>'TATA USAHA'!J15</f>
        <v>-1</v>
      </c>
      <c r="S26" s="702">
        <v>20</v>
      </c>
      <c r="T26" s="89" t="s">
        <v>91</v>
      </c>
      <c r="U26" s="413" t="str">
        <f>GURU!O31</f>
        <v>Guru Piket</v>
      </c>
      <c r="V26" s="413"/>
      <c r="W26" s="413"/>
      <c r="X26" s="703"/>
      <c r="Y26" s="76"/>
      <c r="AD26" s="76"/>
      <c r="AE26" s="76"/>
      <c r="AF26" s="76"/>
    </row>
    <row r="27" spans="1:40" ht="34.5" customHeight="1" x14ac:dyDescent="0.25">
      <c r="A27" s="722" t="s">
        <v>183</v>
      </c>
      <c r="B27" s="413"/>
      <c r="C27" s="413"/>
      <c r="D27" s="413"/>
      <c r="E27" s="413"/>
      <c r="F27" s="413"/>
      <c r="G27" s="82">
        <f>GURU!T23</f>
        <v>2</v>
      </c>
      <c r="H27" s="723">
        <f>GURU!U23</f>
        <v>-4.1666666666666519E-2</v>
      </c>
      <c r="L27" s="732" t="s">
        <v>184</v>
      </c>
      <c r="M27" s="414"/>
      <c r="N27" s="414"/>
      <c r="O27" s="414"/>
      <c r="P27" s="82"/>
      <c r="Q27" s="733"/>
      <c r="S27" s="702">
        <v>21</v>
      </c>
      <c r="T27" s="88" t="s">
        <v>256</v>
      </c>
      <c r="U27" s="413" t="str">
        <f>GURU!O13</f>
        <v>Wali Kelas, Guru Piket, Petugas Perpus</v>
      </c>
      <c r="V27" s="413"/>
      <c r="W27" s="413"/>
      <c r="X27" s="703"/>
      <c r="Y27" s="76"/>
      <c r="AD27" s="76"/>
      <c r="AE27" s="76"/>
      <c r="AF27" s="76"/>
      <c r="AG27" s="31"/>
      <c r="AH27" s="32"/>
      <c r="AI27" s="32"/>
      <c r="AJ27" s="36"/>
    </row>
    <row r="28" spans="1:40" ht="17.25" customHeight="1" x14ac:dyDescent="0.25">
      <c r="A28" s="722" t="s">
        <v>185</v>
      </c>
      <c r="B28" s="413"/>
      <c r="C28" s="413"/>
      <c r="D28" s="413"/>
      <c r="E28" s="413"/>
      <c r="F28" s="413"/>
      <c r="G28" s="82">
        <f>GURU!T25</f>
        <v>3</v>
      </c>
      <c r="H28" s="723">
        <f>GURU!U25</f>
        <v>0.16666666666666652</v>
      </c>
      <c r="L28" s="732" t="s">
        <v>186</v>
      </c>
      <c r="M28" s="414"/>
      <c r="N28" s="414"/>
      <c r="O28" s="414"/>
      <c r="P28" s="82"/>
      <c r="Q28" s="733"/>
      <c r="S28" s="702">
        <v>22</v>
      </c>
      <c r="T28" s="88" t="s">
        <v>68</v>
      </c>
      <c r="U28" s="413" t="str">
        <f>GURU!O22</f>
        <v>Wali kelas, Guru Piket</v>
      </c>
      <c r="V28" s="413"/>
      <c r="W28" s="413"/>
      <c r="X28" s="703"/>
      <c r="Y28" s="76"/>
      <c r="AD28" s="76"/>
      <c r="AE28" s="76"/>
      <c r="AF28" s="76"/>
      <c r="AG28" s="36"/>
      <c r="AH28" s="36"/>
      <c r="AI28" s="36"/>
      <c r="AJ28" s="36"/>
    </row>
    <row r="29" spans="1:40" ht="17.25" customHeight="1" x14ac:dyDescent="0.25">
      <c r="A29" s="722" t="s">
        <v>187</v>
      </c>
      <c r="B29" s="413"/>
      <c r="C29" s="413"/>
      <c r="D29" s="413"/>
      <c r="E29" s="413"/>
      <c r="F29" s="413"/>
      <c r="G29" s="82">
        <f>GURU!T28</f>
        <v>1</v>
      </c>
      <c r="H29" s="723">
        <f>GURU!U28</f>
        <v>-0.91666666666666674</v>
      </c>
      <c r="L29" s="732" t="s">
        <v>188</v>
      </c>
      <c r="M29" s="414"/>
      <c r="N29" s="414"/>
      <c r="O29" s="414"/>
      <c r="P29" s="82"/>
      <c r="Q29" s="733"/>
      <c r="S29" s="702">
        <v>23</v>
      </c>
      <c r="T29" s="88" t="s">
        <v>113</v>
      </c>
      <c r="U29" s="413" t="str">
        <f>'TATA USAHA'!F11</f>
        <v>Koordinator Tata Usaha/Kepegawaian</v>
      </c>
      <c r="V29" s="413"/>
      <c r="W29" s="413"/>
      <c r="X29" s="703"/>
      <c r="Y29" s="76"/>
      <c r="AD29" s="76"/>
      <c r="AE29" s="76"/>
      <c r="AF29" s="76"/>
      <c r="AG29" s="36"/>
      <c r="AH29" s="36"/>
      <c r="AI29" s="36"/>
      <c r="AJ29" s="36"/>
    </row>
    <row r="30" spans="1:40" ht="17.25" customHeight="1" x14ac:dyDescent="0.25">
      <c r="A30" s="722" t="s">
        <v>189</v>
      </c>
      <c r="B30" s="413"/>
      <c r="C30" s="413"/>
      <c r="D30" s="413"/>
      <c r="E30" s="413"/>
      <c r="F30" s="413"/>
      <c r="G30" s="82">
        <f>GURU!T29</f>
        <v>0</v>
      </c>
      <c r="H30" s="723">
        <f>GURU!U29</f>
        <v>-1.625</v>
      </c>
      <c r="L30" s="732" t="s">
        <v>125</v>
      </c>
      <c r="M30" s="414"/>
      <c r="N30" s="414"/>
      <c r="O30" s="414"/>
      <c r="P30" s="82">
        <v>1</v>
      </c>
      <c r="Q30" s="733">
        <f>'TATA USAHA'!J16</f>
        <v>-1</v>
      </c>
      <c r="S30" s="702">
        <v>24</v>
      </c>
      <c r="T30" s="88" t="s">
        <v>115</v>
      </c>
      <c r="U30" s="413" t="str">
        <f>'TATA USAHA'!F12</f>
        <v>Pengelola Administrasi Umum,  Pengolah Data</v>
      </c>
      <c r="V30" s="413"/>
      <c r="W30" s="413"/>
      <c r="X30" s="703"/>
      <c r="Y30" s="76"/>
      <c r="AD30" s="76"/>
      <c r="AE30" s="76"/>
      <c r="AF30" s="76"/>
      <c r="AG30" s="36"/>
      <c r="AH30" s="36"/>
      <c r="AI30" s="36"/>
      <c r="AJ30" s="36"/>
    </row>
    <row r="31" spans="1:40" ht="17.25" customHeight="1" thickBot="1" x14ac:dyDescent="0.3">
      <c r="A31" s="722" t="s">
        <v>190</v>
      </c>
      <c r="B31" s="413"/>
      <c r="C31" s="413"/>
      <c r="D31" s="413"/>
      <c r="E31" s="413"/>
      <c r="F31" s="413"/>
      <c r="G31" s="82">
        <f>GURU!T30</f>
        <v>2</v>
      </c>
      <c r="H31" s="723">
        <f>GURU!U30</f>
        <v>0.125</v>
      </c>
      <c r="L31" s="734" t="s">
        <v>125</v>
      </c>
      <c r="M31" s="735"/>
      <c r="N31" s="735"/>
      <c r="O31" s="735"/>
      <c r="P31" s="725">
        <v>1</v>
      </c>
      <c r="Q31" s="736">
        <f>'TATA USAHA'!J17</f>
        <v>-1</v>
      </c>
      <c r="S31" s="702">
        <v>25</v>
      </c>
      <c r="T31" s="88" t="s">
        <v>117</v>
      </c>
      <c r="U31" s="413" t="str">
        <f>'TATA USAHA'!F13</f>
        <v>Pengelola Keamanan dan Ketertiban Sekolah</v>
      </c>
      <c r="V31" s="413"/>
      <c r="W31" s="413"/>
      <c r="X31" s="703"/>
      <c r="Y31" s="76"/>
      <c r="AD31" s="76"/>
      <c r="AE31" s="76"/>
      <c r="AF31" s="76"/>
      <c r="AG31" s="36"/>
      <c r="AH31" s="36"/>
      <c r="AI31" s="36"/>
      <c r="AJ31" s="36"/>
      <c r="AK31" s="36"/>
      <c r="AL31" s="36"/>
    </row>
    <row r="32" spans="1:40" ht="17.25" customHeight="1" x14ac:dyDescent="0.25">
      <c r="A32" s="722" t="s">
        <v>191</v>
      </c>
      <c r="B32" s="413"/>
      <c r="C32" s="413"/>
      <c r="D32" s="413"/>
      <c r="E32" s="413"/>
      <c r="F32" s="413"/>
      <c r="G32" s="82">
        <f>GURU!T32</f>
        <v>1</v>
      </c>
      <c r="H32" s="723">
        <f>GURU!U32</f>
        <v>-0.83333333333333326</v>
      </c>
      <c r="M32" s="35"/>
      <c r="N32" s="35"/>
      <c r="S32" s="702">
        <v>26</v>
      </c>
      <c r="T32" s="89" t="s">
        <v>120</v>
      </c>
      <c r="U32" s="413" t="str">
        <f>'TATA USAHA'!F15</f>
        <v>Pengelola Kebersihan Sekolah</v>
      </c>
      <c r="V32" s="413"/>
      <c r="W32" s="413"/>
      <c r="X32" s="703"/>
      <c r="Y32" s="76"/>
      <c r="AD32" s="76"/>
      <c r="AE32" s="76"/>
      <c r="AF32" s="76"/>
      <c r="AG32" s="36"/>
      <c r="AH32" s="36"/>
      <c r="AI32" s="36"/>
      <c r="AJ32" s="36"/>
      <c r="AK32" s="36"/>
      <c r="AL32" s="36"/>
    </row>
    <row r="33" spans="1:40" ht="17.25" customHeight="1" thickBot="1" x14ac:dyDescent="0.3">
      <c r="A33" s="724" t="s">
        <v>192</v>
      </c>
      <c r="B33" s="706"/>
      <c r="C33" s="706"/>
      <c r="D33" s="706"/>
      <c r="E33" s="706"/>
      <c r="F33" s="706"/>
      <c r="G33" s="725">
        <v>1</v>
      </c>
      <c r="H33" s="726">
        <f>GURU!U33</f>
        <v>-0.83333333333333326</v>
      </c>
      <c r="M33" s="35"/>
      <c r="N33" s="35"/>
      <c r="S33" s="704">
        <v>27</v>
      </c>
      <c r="T33" s="705" t="s">
        <v>122</v>
      </c>
      <c r="U33" s="706" t="str">
        <f>'TATA USAHA'!F14</f>
        <v>Pengelola Perpustakaan, Pranata Kearsipan, Inventaris Aset Sekolah</v>
      </c>
      <c r="V33" s="706"/>
      <c r="W33" s="706"/>
      <c r="X33" s="707"/>
      <c r="Y33" s="76"/>
      <c r="Z33" s="36"/>
      <c r="AA33" s="36"/>
      <c r="AB33" s="36"/>
      <c r="AF33" s="36"/>
      <c r="AG33" s="36"/>
      <c r="AH33" s="36"/>
      <c r="AI33" s="36"/>
      <c r="AJ33" s="36"/>
      <c r="AK33" s="36"/>
      <c r="AL33" s="36"/>
    </row>
    <row r="34" spans="1:40" ht="15.75" customHeight="1" x14ac:dyDescent="0.25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S34" s="30"/>
      <c r="T34" s="57"/>
      <c r="U34" s="35"/>
      <c r="V34" s="54"/>
      <c r="W34" s="35"/>
      <c r="X34" s="35"/>
      <c r="Y34" s="36"/>
      <c r="Z34" s="36"/>
      <c r="AA34" s="36"/>
      <c r="AB34" s="36"/>
      <c r="AC34" s="36"/>
      <c r="AD34" s="36"/>
      <c r="AH34" s="36"/>
      <c r="AI34" s="36"/>
      <c r="AJ34" s="36"/>
      <c r="AK34" s="36"/>
      <c r="AL34" s="36"/>
      <c r="AM34" s="36"/>
      <c r="AN34" s="36"/>
    </row>
    <row r="35" spans="1:40" ht="15.75" customHeight="1" x14ac:dyDescent="0.2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S35" s="40"/>
      <c r="T35" s="40"/>
      <c r="U35" s="40"/>
      <c r="V35" s="417" t="str">
        <f>GURU!R35</f>
        <v>Karangtengah, Agustus 2025</v>
      </c>
      <c r="W35" s="417"/>
      <c r="X35" s="417"/>
    </row>
    <row r="36" spans="1:40" ht="17.25" customHeight="1" x14ac:dyDescent="0.2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S36" s="40"/>
      <c r="T36" s="40"/>
      <c r="U36" s="40"/>
      <c r="V36" s="417" t="str">
        <f>GURU!R36</f>
        <v>Kepala SMP Negeri 2 Karangtengah</v>
      </c>
      <c r="W36" s="417"/>
      <c r="X36" s="417"/>
    </row>
    <row r="37" spans="1:40" ht="15.75" customHeight="1" x14ac:dyDescent="0.25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S37" s="40"/>
      <c r="T37" s="40"/>
      <c r="U37" s="40"/>
      <c r="V37" s="417"/>
      <c r="W37" s="417"/>
      <c r="X37" s="417"/>
      <c r="Y37" s="35"/>
      <c r="Z37" s="35"/>
      <c r="AA37" s="35"/>
    </row>
    <row r="38" spans="1:40" ht="15.75" customHeight="1" x14ac:dyDescent="0.25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S38" s="40"/>
      <c r="T38" s="40"/>
      <c r="U38" s="40"/>
      <c r="V38" s="417"/>
      <c r="W38" s="417"/>
      <c r="X38" s="417"/>
      <c r="Y38" s="35"/>
      <c r="Z38" s="35"/>
      <c r="AA38" s="35"/>
    </row>
    <row r="39" spans="1:40" ht="15.75" customHeight="1" x14ac:dyDescent="0.25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S39" s="40"/>
      <c r="T39" s="40"/>
      <c r="U39" s="40"/>
      <c r="V39" s="417"/>
      <c r="W39" s="417"/>
      <c r="X39" s="417"/>
      <c r="Y39" s="35"/>
      <c r="Z39" s="35"/>
      <c r="AA39" s="35"/>
    </row>
    <row r="40" spans="1:40" ht="15.75" customHeight="1" x14ac:dyDescent="0.25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40"/>
      <c r="T40" s="40"/>
      <c r="U40" s="40"/>
      <c r="V40" s="415" t="str">
        <f>GURU!R40</f>
        <v>Priyantono, S.Pd., M.Pd.</v>
      </c>
      <c r="W40" s="415"/>
      <c r="X40" s="415"/>
    </row>
    <row r="41" spans="1:40" ht="15.75" customHeight="1" x14ac:dyDescent="0.25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40"/>
      <c r="T41" s="40"/>
      <c r="U41" s="40"/>
      <c r="V41" s="417" t="str">
        <f>GURU!R41</f>
        <v>Pembina Utama Muda, IV/c</v>
      </c>
      <c r="W41" s="417"/>
      <c r="X41" s="417"/>
    </row>
    <row r="42" spans="1:40" ht="15.75" customHeight="1" x14ac:dyDescent="0.25">
      <c r="S42" s="40"/>
      <c r="T42" s="40"/>
      <c r="U42" s="40"/>
      <c r="V42" s="417" t="str">
        <f>GURU!R42</f>
        <v>NIP. 196902251994031005</v>
      </c>
      <c r="W42" s="417"/>
      <c r="X42" s="417"/>
    </row>
    <row r="43" spans="1:40" ht="15.75" customHeight="1" x14ac:dyDescent="0.25"/>
    <row r="44" spans="1:40" ht="15.75" customHeight="1" x14ac:dyDescent="0.25"/>
    <row r="45" spans="1:40" ht="15.75" customHeight="1" x14ac:dyDescent="0.25"/>
    <row r="46" spans="1:40" ht="15.75" customHeight="1" x14ac:dyDescent="0.25"/>
    <row r="47" spans="1:40" ht="15.75" customHeight="1" x14ac:dyDescent="0.25"/>
    <row r="48" spans="1:4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6">
    <mergeCell ref="V40:X40"/>
    <mergeCell ref="V41:X41"/>
    <mergeCell ref="V42:X42"/>
    <mergeCell ref="V35:X35"/>
    <mergeCell ref="V36:X36"/>
    <mergeCell ref="V37:X37"/>
    <mergeCell ref="V38:X38"/>
    <mergeCell ref="V39:X39"/>
    <mergeCell ref="U31:X31"/>
    <mergeCell ref="U32:X32"/>
    <mergeCell ref="U33:X33"/>
    <mergeCell ref="S6:X6"/>
    <mergeCell ref="A1:X1"/>
    <mergeCell ref="A2:X2"/>
    <mergeCell ref="A3:X3"/>
    <mergeCell ref="U26:X26"/>
    <mergeCell ref="U27:X27"/>
    <mergeCell ref="U28:X28"/>
    <mergeCell ref="U29:X29"/>
    <mergeCell ref="U30:X30"/>
    <mergeCell ref="U21:X21"/>
    <mergeCell ref="U22:X22"/>
    <mergeCell ref="U23:X23"/>
    <mergeCell ref="U24:X24"/>
    <mergeCell ref="U25:X25"/>
    <mergeCell ref="U16:X16"/>
    <mergeCell ref="U17:X17"/>
    <mergeCell ref="U18:X18"/>
    <mergeCell ref="U19:X19"/>
    <mergeCell ref="U20:X20"/>
    <mergeCell ref="A33:F33"/>
    <mergeCell ref="L21:O21"/>
    <mergeCell ref="L22:O22"/>
    <mergeCell ref="L23:O23"/>
    <mergeCell ref="L24:O24"/>
    <mergeCell ref="L25:O25"/>
    <mergeCell ref="L26:O26"/>
    <mergeCell ref="L27:O27"/>
    <mergeCell ref="L28:O28"/>
    <mergeCell ref="L29:O29"/>
    <mergeCell ref="L30:O30"/>
    <mergeCell ref="L31:O31"/>
    <mergeCell ref="A25:F25"/>
    <mergeCell ref="A26:F26"/>
    <mergeCell ref="A27:F27"/>
    <mergeCell ref="A28:F28"/>
    <mergeCell ref="P15:Q15"/>
    <mergeCell ref="I5:M5"/>
    <mergeCell ref="I6:M6"/>
    <mergeCell ref="I7:M7"/>
    <mergeCell ref="M12:N12"/>
    <mergeCell ref="M13:N13"/>
    <mergeCell ref="A29:F29"/>
    <mergeCell ref="A30:F30"/>
    <mergeCell ref="A31:F31"/>
    <mergeCell ref="A32:F32"/>
    <mergeCell ref="A21:F21"/>
    <mergeCell ref="A22:F22"/>
    <mergeCell ref="A23:F23"/>
    <mergeCell ref="A24:F24"/>
    <mergeCell ref="U13:X13"/>
    <mergeCell ref="U14:X14"/>
    <mergeCell ref="U15:X15"/>
    <mergeCell ref="A6:G6"/>
    <mergeCell ref="A10:J10"/>
    <mergeCell ref="U7:X7"/>
    <mergeCell ref="U8:X8"/>
    <mergeCell ref="U9:X9"/>
    <mergeCell ref="U10:X10"/>
    <mergeCell ref="U11:X11"/>
    <mergeCell ref="U12:X12"/>
    <mergeCell ref="M14:N14"/>
    <mergeCell ref="M15:N15"/>
    <mergeCell ref="P12:Q12"/>
    <mergeCell ref="P13:Q13"/>
    <mergeCell ref="P14:Q14"/>
  </mergeCells>
  <printOptions horizontalCentered="1"/>
  <pageMargins left="3.937007874015748E-2" right="3.937007874015748E-2" top="3.937007874015748E-2" bottom="3.937007874015748E-2" header="3.937007874015748E-2" footer="3.937007874015748E-2"/>
  <pageSetup paperSize="20000" scale="57" orientation="landscape" r:id="rId1"/>
  <colBreaks count="2" manualBreakCount="2">
    <brk id="25" max="41" man="1"/>
    <brk id="29" max="41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00"/>
  <sheetViews>
    <sheetView workbookViewId="0">
      <selection activeCell="I15" sqref="I15"/>
    </sheetView>
  </sheetViews>
  <sheetFormatPr defaultColWidth="14.42578125" defaultRowHeight="15" customHeight="1" x14ac:dyDescent="0.25"/>
  <cols>
    <col min="1" max="1" width="4.7109375" customWidth="1"/>
    <col min="2" max="2" width="5.7109375" customWidth="1"/>
    <col min="3" max="3" width="30.140625" bestFit="1" customWidth="1"/>
    <col min="4" max="7" width="5.7109375" customWidth="1"/>
    <col min="8" max="9" width="8.7109375" customWidth="1"/>
    <col min="10" max="10" width="16.28515625" customWidth="1"/>
    <col min="11" max="26" width="14" customWidth="1"/>
  </cols>
  <sheetData>
    <row r="1" spans="2:10" ht="15.75" customHeight="1" x14ac:dyDescent="0.25">
      <c r="B1" s="737" t="s">
        <v>193</v>
      </c>
      <c r="C1" s="738"/>
      <c r="D1" s="738"/>
      <c r="E1" s="738"/>
      <c r="F1" s="738"/>
      <c r="G1" s="738"/>
      <c r="H1" s="738"/>
      <c r="I1" s="738"/>
      <c r="J1" s="738"/>
    </row>
    <row r="2" spans="2:10" ht="21" customHeight="1" x14ac:dyDescent="0.25">
      <c r="B2" s="738"/>
      <c r="C2" s="738"/>
      <c r="D2" s="738"/>
      <c r="E2" s="738"/>
      <c r="F2" s="738"/>
      <c r="G2" s="738"/>
      <c r="H2" s="738"/>
      <c r="I2" s="738"/>
      <c r="J2" s="738"/>
    </row>
    <row r="3" spans="2:10" ht="15.75" x14ac:dyDescent="0.25">
      <c r="B3" s="5"/>
      <c r="C3" s="5"/>
      <c r="D3" s="739" t="s">
        <v>194</v>
      </c>
      <c r="E3" s="740"/>
      <c r="F3" s="740"/>
      <c r="G3" s="740"/>
      <c r="H3" s="740"/>
      <c r="I3" s="740"/>
      <c r="J3" s="741"/>
    </row>
    <row r="4" spans="2:10" ht="15.75" x14ac:dyDescent="0.25">
      <c r="B4" s="5"/>
      <c r="C4" s="5"/>
      <c r="D4" s="739" t="s">
        <v>195</v>
      </c>
      <c r="E4" s="740"/>
      <c r="F4" s="740"/>
      <c r="G4" s="740"/>
      <c r="H4" s="740"/>
      <c r="I4" s="740"/>
      <c r="J4" s="741"/>
    </row>
    <row r="5" spans="2:10" x14ac:dyDescent="0.25">
      <c r="B5" s="5"/>
      <c r="C5" s="5"/>
      <c r="D5" s="5"/>
      <c r="E5" s="5"/>
      <c r="F5" s="5"/>
      <c r="G5" s="5"/>
      <c r="H5" s="742"/>
      <c r="I5" s="5"/>
      <c r="J5" s="5"/>
    </row>
    <row r="6" spans="2:10" x14ac:dyDescent="0.25">
      <c r="B6" s="5"/>
      <c r="C6" s="5"/>
      <c r="D6" s="743"/>
      <c r="E6" s="743"/>
      <c r="F6" s="743"/>
      <c r="G6" s="743"/>
      <c r="H6" s="742"/>
      <c r="I6" s="5"/>
      <c r="J6" s="5"/>
    </row>
    <row r="7" spans="2:10" x14ac:dyDescent="0.25">
      <c r="B7" s="5"/>
      <c r="C7" s="5"/>
      <c r="D7" s="744"/>
      <c r="E7" s="745"/>
      <c r="F7" s="745"/>
      <c r="G7" s="745"/>
      <c r="H7" s="5"/>
      <c r="I7" s="5"/>
      <c r="J7" s="5"/>
    </row>
    <row r="8" spans="2:10" x14ac:dyDescent="0.25">
      <c r="B8" s="5"/>
      <c r="C8" s="5"/>
      <c r="D8" s="746"/>
      <c r="E8" s="5"/>
      <c r="F8" s="5"/>
      <c r="G8" s="5"/>
      <c r="H8" s="5"/>
      <c r="I8" s="5"/>
      <c r="J8" s="5"/>
    </row>
    <row r="9" spans="2:10" ht="15.75" x14ac:dyDescent="0.25">
      <c r="B9" s="747" t="s">
        <v>196</v>
      </c>
      <c r="C9" s="740"/>
      <c r="D9" s="740"/>
      <c r="E9" s="740"/>
      <c r="F9" s="740"/>
      <c r="G9" s="741"/>
      <c r="H9" s="333"/>
      <c r="I9" s="5"/>
      <c r="J9" s="5"/>
    </row>
    <row r="10" spans="2:10" ht="15.75" x14ac:dyDescent="0.25">
      <c r="B10" s="747" t="s">
        <v>197</v>
      </c>
      <c r="C10" s="740"/>
      <c r="D10" s="740"/>
      <c r="E10" s="740"/>
      <c r="F10" s="740"/>
      <c r="G10" s="741"/>
      <c r="H10" s="333"/>
      <c r="I10" s="5"/>
      <c r="J10" s="5"/>
    </row>
    <row r="11" spans="2:10" x14ac:dyDescent="0.25">
      <c r="B11" s="748"/>
      <c r="C11" s="749"/>
      <c r="D11" s="750"/>
      <c r="E11" s="5"/>
      <c r="F11" s="5"/>
      <c r="G11" s="5"/>
      <c r="H11" s="5"/>
      <c r="I11" s="5"/>
      <c r="J11" s="5"/>
    </row>
    <row r="12" spans="2:10" x14ac:dyDescent="0.25">
      <c r="B12" s="743"/>
      <c r="C12" s="751"/>
      <c r="D12" s="752"/>
      <c r="E12" s="5"/>
      <c r="F12" s="5"/>
      <c r="G12" s="5"/>
      <c r="H12" s="5"/>
      <c r="I12" s="5"/>
      <c r="J12" s="5"/>
    </row>
    <row r="13" spans="2:10" ht="15.75" x14ac:dyDescent="0.25">
      <c r="B13" s="753" t="s">
        <v>198</v>
      </c>
      <c r="C13" s="754"/>
      <c r="D13" s="755" t="s">
        <v>199</v>
      </c>
      <c r="E13" s="755" t="s">
        <v>174</v>
      </c>
      <c r="F13" s="755" t="s">
        <v>175</v>
      </c>
      <c r="G13" s="756" t="s">
        <v>200</v>
      </c>
      <c r="H13" s="5"/>
      <c r="I13" s="5"/>
      <c r="J13" s="5"/>
    </row>
    <row r="14" spans="2:10" x14ac:dyDescent="0.25">
      <c r="B14" s="757">
        <v>1</v>
      </c>
      <c r="C14" s="6" t="s">
        <v>201</v>
      </c>
      <c r="D14" s="758">
        <v>11</v>
      </c>
      <c r="E14" s="758">
        <v>2</v>
      </c>
      <c r="F14" s="758">
        <v>3</v>
      </c>
      <c r="G14" s="759">
        <f t="shared" ref="G14:G22" si="0">E14-F14</f>
        <v>-1</v>
      </c>
      <c r="H14" s="5"/>
      <c r="I14" s="5"/>
      <c r="J14" s="5"/>
    </row>
    <row r="15" spans="2:10" x14ac:dyDescent="0.25">
      <c r="B15" s="760">
        <v>2</v>
      </c>
      <c r="C15" s="8" t="s">
        <v>202</v>
      </c>
      <c r="D15" s="11">
        <v>9</v>
      </c>
      <c r="E15" s="11">
        <v>5</v>
      </c>
      <c r="F15" s="11">
        <v>6</v>
      </c>
      <c r="G15" s="759">
        <f t="shared" si="0"/>
        <v>-1</v>
      </c>
      <c r="H15" s="5"/>
      <c r="I15" s="5"/>
      <c r="J15" s="5"/>
    </row>
    <row r="16" spans="2:10" x14ac:dyDescent="0.25">
      <c r="B16" s="757">
        <v>3</v>
      </c>
      <c r="C16" s="8" t="s">
        <v>203</v>
      </c>
      <c r="D16" s="11">
        <v>8</v>
      </c>
      <c r="E16" s="11">
        <v>9</v>
      </c>
      <c r="F16" s="11">
        <v>5</v>
      </c>
      <c r="G16" s="759">
        <f t="shared" si="0"/>
        <v>4</v>
      </c>
      <c r="H16" s="5"/>
      <c r="I16" s="5"/>
      <c r="J16" s="5"/>
    </row>
    <row r="17" spans="2:10" x14ac:dyDescent="0.25">
      <c r="B17" s="760">
        <v>4</v>
      </c>
      <c r="C17" s="8" t="s">
        <v>204</v>
      </c>
      <c r="D17" s="11" t="s">
        <v>34</v>
      </c>
      <c r="E17" s="11">
        <v>3</v>
      </c>
      <c r="F17" s="11">
        <v>4</v>
      </c>
      <c r="G17" s="759">
        <f t="shared" si="0"/>
        <v>-1</v>
      </c>
      <c r="H17" s="5"/>
      <c r="I17" s="5"/>
      <c r="J17" s="5"/>
    </row>
    <row r="18" spans="2:10" x14ac:dyDescent="0.25">
      <c r="B18" s="757">
        <v>5</v>
      </c>
      <c r="C18" s="8" t="s">
        <v>205</v>
      </c>
      <c r="D18" s="11" t="s">
        <v>34</v>
      </c>
      <c r="E18" s="11">
        <v>1</v>
      </c>
      <c r="F18" s="11">
        <v>1</v>
      </c>
      <c r="G18" s="759">
        <f t="shared" si="0"/>
        <v>0</v>
      </c>
      <c r="H18" s="5"/>
      <c r="I18" s="5"/>
      <c r="J18" s="5"/>
    </row>
    <row r="19" spans="2:10" x14ac:dyDescent="0.25">
      <c r="B19" s="760">
        <v>6</v>
      </c>
      <c r="C19" s="8" t="s">
        <v>206</v>
      </c>
      <c r="D19" s="11" t="s">
        <v>34</v>
      </c>
      <c r="E19" s="11">
        <v>0</v>
      </c>
      <c r="F19" s="11">
        <v>1</v>
      </c>
      <c r="G19" s="759">
        <f t="shared" si="0"/>
        <v>-1</v>
      </c>
      <c r="H19" s="5"/>
      <c r="I19" s="5"/>
      <c r="J19" s="5"/>
    </row>
    <row r="20" spans="2:10" x14ac:dyDescent="0.25">
      <c r="B20" s="757">
        <v>7</v>
      </c>
      <c r="C20" s="8" t="s">
        <v>207</v>
      </c>
      <c r="D20" s="11" t="s">
        <v>34</v>
      </c>
      <c r="E20" s="11">
        <v>1</v>
      </c>
      <c r="F20" s="11">
        <v>1</v>
      </c>
      <c r="G20" s="759">
        <f t="shared" si="0"/>
        <v>0</v>
      </c>
      <c r="H20" s="5"/>
      <c r="I20" s="5"/>
      <c r="J20" s="5"/>
    </row>
    <row r="21" spans="2:10" ht="15.75" customHeight="1" x14ac:dyDescent="0.25">
      <c r="B21" s="760">
        <v>8</v>
      </c>
      <c r="C21" s="8" t="s">
        <v>208</v>
      </c>
      <c r="D21" s="11" t="s">
        <v>34</v>
      </c>
      <c r="E21" s="11">
        <v>1</v>
      </c>
      <c r="F21" s="11">
        <v>1</v>
      </c>
      <c r="G21" s="759">
        <f t="shared" si="0"/>
        <v>0</v>
      </c>
      <c r="H21" s="5"/>
      <c r="I21" s="5"/>
      <c r="J21" s="5"/>
    </row>
    <row r="22" spans="2:10" ht="15.75" customHeight="1" x14ac:dyDescent="0.25">
      <c r="B22" s="757">
        <v>9</v>
      </c>
      <c r="C22" s="8" t="s">
        <v>209</v>
      </c>
      <c r="D22" s="11" t="s">
        <v>34</v>
      </c>
      <c r="E22" s="11">
        <v>1</v>
      </c>
      <c r="F22" s="11">
        <v>1</v>
      </c>
      <c r="G22" s="759">
        <f t="shared" si="0"/>
        <v>0</v>
      </c>
      <c r="H22" s="5"/>
      <c r="I22" s="5"/>
      <c r="J22" s="5"/>
    </row>
    <row r="23" spans="2:10" ht="15.75" customHeight="1" x14ac:dyDescent="0.25">
      <c r="B23" s="5"/>
      <c r="C23" s="5"/>
      <c r="D23" s="5"/>
      <c r="E23" s="5"/>
      <c r="F23" s="5"/>
      <c r="G23" s="5"/>
      <c r="H23" s="5"/>
      <c r="I23" s="5"/>
      <c r="J23" s="5"/>
    </row>
    <row r="24" spans="2:10" ht="15.75" customHeight="1" x14ac:dyDescent="0.25">
      <c r="B24" s="5"/>
      <c r="C24" s="5"/>
      <c r="D24" s="5"/>
      <c r="F24" s="5"/>
      <c r="G24" s="5"/>
      <c r="H24" s="5" t="s">
        <v>210</v>
      </c>
      <c r="I24" s="5"/>
      <c r="J24" s="5"/>
    </row>
    <row r="25" spans="2:10" ht="15.75" customHeight="1" x14ac:dyDescent="0.25">
      <c r="B25" s="5"/>
      <c r="C25" s="5"/>
      <c r="D25" s="5"/>
      <c r="F25" s="5"/>
      <c r="G25" s="5"/>
      <c r="H25" s="5" t="s">
        <v>211</v>
      </c>
      <c r="I25" s="5"/>
      <c r="J25" s="5"/>
    </row>
    <row r="26" spans="2:10" ht="15.75" customHeight="1" x14ac:dyDescent="0.25">
      <c r="B26" s="5"/>
      <c r="C26" s="5"/>
      <c r="D26" s="5"/>
      <c r="F26" s="5"/>
      <c r="G26" s="5"/>
      <c r="H26" s="5"/>
      <c r="I26" s="5"/>
      <c r="J26" s="5"/>
    </row>
    <row r="27" spans="2:10" ht="15.75" customHeight="1" x14ac:dyDescent="0.25">
      <c r="B27" s="5"/>
      <c r="C27" s="5"/>
      <c r="D27" s="5"/>
      <c r="F27" s="5"/>
      <c r="G27" s="5"/>
      <c r="H27" s="5"/>
      <c r="I27" s="5"/>
      <c r="J27" s="5"/>
    </row>
    <row r="28" spans="2:10" ht="15.75" customHeight="1" x14ac:dyDescent="0.25">
      <c r="B28" s="5"/>
      <c r="C28" s="5"/>
      <c r="D28" s="5"/>
      <c r="F28" s="5"/>
      <c r="G28" s="5"/>
      <c r="H28" s="5"/>
      <c r="I28" s="5"/>
      <c r="J28" s="5"/>
    </row>
    <row r="29" spans="2:10" ht="15.75" customHeight="1" x14ac:dyDescent="0.25">
      <c r="B29" s="5"/>
      <c r="C29" s="5"/>
      <c r="D29" s="5"/>
      <c r="F29" s="5"/>
      <c r="G29" s="5"/>
      <c r="H29" s="5"/>
      <c r="I29" s="5"/>
      <c r="J29" s="5"/>
    </row>
    <row r="30" spans="2:10" ht="15.75" customHeight="1" x14ac:dyDescent="0.25">
      <c r="B30" s="5"/>
      <c r="C30" s="5"/>
      <c r="D30" s="5"/>
      <c r="F30" s="5"/>
      <c r="G30" s="5"/>
      <c r="H30" s="761" t="s">
        <v>212</v>
      </c>
      <c r="I30" s="5"/>
      <c r="J30" s="5"/>
    </row>
    <row r="31" spans="2:10" ht="15.75" customHeight="1" x14ac:dyDescent="0.25">
      <c r="B31" s="5"/>
      <c r="C31" s="5"/>
      <c r="D31" s="5"/>
      <c r="F31" s="5"/>
      <c r="G31" s="5"/>
      <c r="H31" s="5" t="s">
        <v>213</v>
      </c>
      <c r="I31" s="5"/>
      <c r="J31" s="5"/>
    </row>
    <row r="32" spans="2:10" ht="15.75" customHeight="1" x14ac:dyDescent="0.25">
      <c r="B32" s="5"/>
      <c r="C32" s="5"/>
      <c r="D32" s="5"/>
      <c r="F32" s="5"/>
      <c r="G32" s="5"/>
      <c r="H32" s="5" t="s">
        <v>214</v>
      </c>
      <c r="I32" s="5"/>
      <c r="J32" s="5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B13:C13"/>
    <mergeCell ref="B1:J2"/>
    <mergeCell ref="D3:J3"/>
    <mergeCell ref="D4:J4"/>
    <mergeCell ref="B9:G9"/>
    <mergeCell ref="B10:G10"/>
  </mergeCells>
  <pageMargins left="0.7" right="0.7" top="0.75" bottom="0.75" header="0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5"/>
  <sheetViews>
    <sheetView view="pageBreakPreview" zoomScale="55" zoomScaleNormal="100" zoomScaleSheetLayoutView="5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I85" sqref="I85:M85"/>
    </sheetView>
  </sheetViews>
  <sheetFormatPr defaultColWidth="14.42578125" defaultRowHeight="15" customHeight="1" x14ac:dyDescent="0.25"/>
  <cols>
    <col min="1" max="1" width="6.140625" bestFit="1" customWidth="1"/>
    <col min="2" max="2" width="42.7109375" customWidth="1"/>
    <col min="3" max="3" width="24.85546875" customWidth="1"/>
    <col min="4" max="4" width="26.85546875" customWidth="1"/>
    <col min="5" max="14" width="9.42578125" bestFit="1" customWidth="1"/>
    <col min="15" max="25" width="14" customWidth="1"/>
  </cols>
  <sheetData>
    <row r="1" spans="1:14" ht="20.25" x14ac:dyDescent="0.25">
      <c r="A1" s="425" t="s">
        <v>215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</row>
    <row r="2" spans="1:14" ht="16.5" thickBot="1" x14ac:dyDescent="0.3">
      <c r="A2" s="58"/>
      <c r="B2" s="58"/>
      <c r="C2" s="58"/>
      <c r="D2" s="58"/>
      <c r="E2" s="58"/>
      <c r="F2" s="58"/>
      <c r="G2" s="58"/>
      <c r="H2" s="58"/>
      <c r="I2" s="58"/>
      <c r="J2" s="59"/>
      <c r="K2" s="58"/>
      <c r="L2" s="58"/>
      <c r="M2" s="58"/>
      <c r="N2" s="58"/>
    </row>
    <row r="3" spans="1:14" ht="18" x14ac:dyDescent="0.25">
      <c r="A3" s="427" t="s">
        <v>8</v>
      </c>
      <c r="B3" s="430" t="s">
        <v>216</v>
      </c>
      <c r="C3" s="430" t="s">
        <v>217</v>
      </c>
      <c r="D3" s="430" t="s">
        <v>218</v>
      </c>
      <c r="E3" s="433" t="s">
        <v>219</v>
      </c>
      <c r="F3" s="434"/>
      <c r="G3" s="434"/>
      <c r="H3" s="434"/>
      <c r="I3" s="434"/>
      <c r="J3" s="434"/>
      <c r="K3" s="434"/>
      <c r="L3" s="434"/>
      <c r="M3" s="434"/>
      <c r="N3" s="435"/>
    </row>
    <row r="4" spans="1:14" ht="18" x14ac:dyDescent="0.25">
      <c r="A4" s="428"/>
      <c r="B4" s="431"/>
      <c r="C4" s="431"/>
      <c r="D4" s="431"/>
      <c r="E4" s="436" t="s">
        <v>220</v>
      </c>
      <c r="F4" s="437"/>
      <c r="G4" s="437"/>
      <c r="H4" s="437"/>
      <c r="I4" s="438"/>
      <c r="J4" s="436" t="s">
        <v>221</v>
      </c>
      <c r="K4" s="437"/>
      <c r="L4" s="437"/>
      <c r="M4" s="437"/>
      <c r="N4" s="439"/>
    </row>
    <row r="5" spans="1:14" ht="18" x14ac:dyDescent="0.25">
      <c r="A5" s="429"/>
      <c r="B5" s="432"/>
      <c r="C5" s="432"/>
      <c r="D5" s="432"/>
      <c r="E5" s="93">
        <v>2025</v>
      </c>
      <c r="F5" s="93">
        <v>2026</v>
      </c>
      <c r="G5" s="93">
        <v>2027</v>
      </c>
      <c r="H5" s="93">
        <v>2028</v>
      </c>
      <c r="I5" s="93">
        <v>2029</v>
      </c>
      <c r="J5" s="93">
        <v>2025</v>
      </c>
      <c r="K5" s="93">
        <v>2026</v>
      </c>
      <c r="L5" s="93">
        <v>2027</v>
      </c>
      <c r="M5" s="93">
        <v>2028</v>
      </c>
      <c r="N5" s="206">
        <v>2029</v>
      </c>
    </row>
    <row r="6" spans="1:14" ht="18.75" thickBot="1" x14ac:dyDescent="0.3">
      <c r="A6" s="207">
        <v>1</v>
      </c>
      <c r="B6" s="94">
        <v>2</v>
      </c>
      <c r="C6" s="94">
        <v>3</v>
      </c>
      <c r="D6" s="94">
        <v>4</v>
      </c>
      <c r="E6" s="94">
        <v>5</v>
      </c>
      <c r="F6" s="94">
        <v>6</v>
      </c>
      <c r="G6" s="94">
        <v>7</v>
      </c>
      <c r="H6" s="94">
        <v>8</v>
      </c>
      <c r="I6" s="94">
        <v>9</v>
      </c>
      <c r="J6" s="95">
        <v>10</v>
      </c>
      <c r="K6" s="94">
        <v>11</v>
      </c>
      <c r="L6" s="94">
        <v>12</v>
      </c>
      <c r="M6" s="94">
        <v>13</v>
      </c>
      <c r="N6" s="208">
        <v>14</v>
      </c>
    </row>
    <row r="7" spans="1:14" ht="45" customHeight="1" thickTop="1" thickBot="1" x14ac:dyDescent="0.3">
      <c r="A7" s="209"/>
      <c r="B7" s="96" t="s">
        <v>222</v>
      </c>
      <c r="C7" s="96">
        <f>SUM(C10:C11,C16,C21,C26,C31,C36,C41,C46,C51,C56,C61)</f>
        <v>21</v>
      </c>
      <c r="D7" s="342">
        <f>SUM(D10:D11,D16,D21,D26,D31,D36,D41,D46,D51,D56,D61)</f>
        <v>26.291666666666664</v>
      </c>
      <c r="E7" s="96">
        <f t="shared" ref="E7:I7" si="0">SUM(E10:E77)</f>
        <v>0</v>
      </c>
      <c r="F7" s="96">
        <f t="shared" si="0"/>
        <v>1</v>
      </c>
      <c r="G7" s="96">
        <f t="shared" si="0"/>
        <v>0</v>
      </c>
      <c r="H7" s="96">
        <f t="shared" si="0"/>
        <v>3</v>
      </c>
      <c r="I7" s="96">
        <f t="shared" si="0"/>
        <v>2</v>
      </c>
      <c r="J7" s="97">
        <f>SUM(J10:J11,J16,J21,J26,J31,J36,J41,J46,J51,J56,J61,J66,J71,J72,J73,J74,J75,J76,J77)</f>
        <v>5.2916666666666661</v>
      </c>
      <c r="K7" s="97">
        <f>SUM(K10:K11,K16,K21,K26,K31,K36,K41,K46,K51,K56,K61,K66,K71,K72,K73,K74,K75,K76,K77)</f>
        <v>4.2916666666666661</v>
      </c>
      <c r="L7" s="97">
        <f t="shared" ref="L7:N7" si="1">SUM(L10:L11,L16,L21,L26,L31,L36,L41,L46,L51,L56,L61,L66,L71,L72,L73,L74,L75,L76,L77)</f>
        <v>5.2916666666666661</v>
      </c>
      <c r="M7" s="97">
        <f t="shared" si="1"/>
        <v>3.291666666666667</v>
      </c>
      <c r="N7" s="97">
        <f t="shared" si="1"/>
        <v>3.291666666666667</v>
      </c>
    </row>
    <row r="8" spans="1:14" ht="45" customHeight="1" thickTop="1" x14ac:dyDescent="0.25">
      <c r="A8" s="418" t="s">
        <v>223</v>
      </c>
      <c r="B8" s="419"/>
      <c r="C8" s="419"/>
      <c r="D8" s="419"/>
      <c r="E8" s="419"/>
      <c r="F8" s="419"/>
      <c r="G8" s="419"/>
      <c r="H8" s="419"/>
      <c r="I8" s="419"/>
      <c r="J8" s="419"/>
      <c r="K8" s="419"/>
      <c r="L8" s="419"/>
      <c r="M8" s="419"/>
      <c r="N8" s="420"/>
    </row>
    <row r="9" spans="1:14" ht="45" customHeight="1" x14ac:dyDescent="0.25">
      <c r="A9" s="421" t="s">
        <v>224</v>
      </c>
      <c r="B9" s="422"/>
      <c r="C9" s="422"/>
      <c r="D9" s="422"/>
      <c r="E9" s="422"/>
      <c r="F9" s="422"/>
      <c r="G9" s="422"/>
      <c r="H9" s="422"/>
      <c r="I9" s="422"/>
      <c r="J9" s="422"/>
      <c r="K9" s="422"/>
      <c r="L9" s="422"/>
      <c r="M9" s="422"/>
      <c r="N9" s="423"/>
    </row>
    <row r="10" spans="1:14" s="202" customFormat="1" ht="45" customHeight="1" x14ac:dyDescent="0.25">
      <c r="A10" s="310">
        <v>1</v>
      </c>
      <c r="B10" s="319" t="s">
        <v>225</v>
      </c>
      <c r="C10" s="199">
        <v>1</v>
      </c>
      <c r="D10" s="199">
        <v>1</v>
      </c>
      <c r="E10" s="200"/>
      <c r="F10" s="200"/>
      <c r="G10" s="200"/>
      <c r="H10" s="200"/>
      <c r="I10" s="199">
        <v>1</v>
      </c>
      <c r="J10" s="201">
        <f>D10-C10-E10</f>
        <v>0</v>
      </c>
      <c r="K10" s="201">
        <f>D10-C10-F10</f>
        <v>0</v>
      </c>
      <c r="L10" s="201">
        <f>D10-C10-G10</f>
        <v>0</v>
      </c>
      <c r="M10" s="201">
        <f>D10-C10-H10</f>
        <v>0</v>
      </c>
      <c r="N10" s="210">
        <f>D10-C10-I10</f>
        <v>-1</v>
      </c>
    </row>
    <row r="11" spans="1:14" ht="45" customHeight="1" x14ac:dyDescent="0.25">
      <c r="A11" s="211">
        <v>2</v>
      </c>
      <c r="B11" s="318" t="s">
        <v>177</v>
      </c>
      <c r="C11" s="98">
        <f>GURU!T12</f>
        <v>2</v>
      </c>
      <c r="D11" s="322">
        <f>GURU!S12</f>
        <v>3.2083333333333335</v>
      </c>
      <c r="E11" s="99"/>
      <c r="F11" s="99"/>
      <c r="G11" s="99"/>
      <c r="H11" s="99"/>
      <c r="I11" s="99"/>
      <c r="J11" s="100">
        <f>D11-C11-E11</f>
        <v>1.2083333333333335</v>
      </c>
      <c r="K11" s="100">
        <f>D11-C11-F11</f>
        <v>1.2083333333333335</v>
      </c>
      <c r="L11" s="100">
        <f>D11-C11-G11</f>
        <v>1.2083333333333335</v>
      </c>
      <c r="M11" s="100">
        <f>D11-C11-H11</f>
        <v>1.2083333333333335</v>
      </c>
      <c r="N11" s="212">
        <f>D11-C11-I11</f>
        <v>1.2083333333333335</v>
      </c>
    </row>
    <row r="12" spans="1:14" ht="45" customHeight="1" x14ac:dyDescent="0.25">
      <c r="A12" s="211"/>
      <c r="B12" s="101" t="s">
        <v>226</v>
      </c>
      <c r="C12" s="99"/>
      <c r="D12" s="99"/>
      <c r="E12" s="99"/>
      <c r="F12" s="99"/>
      <c r="G12" s="99"/>
      <c r="H12" s="99"/>
      <c r="I12" s="99"/>
      <c r="J12" s="100"/>
      <c r="K12" s="100"/>
      <c r="L12" s="100"/>
      <c r="M12" s="100"/>
      <c r="N12" s="212"/>
    </row>
    <row r="13" spans="1:14" ht="45" customHeight="1" x14ac:dyDescent="0.25">
      <c r="A13" s="211"/>
      <c r="B13" s="101" t="s">
        <v>227</v>
      </c>
      <c r="C13" s="99"/>
      <c r="D13" s="99"/>
      <c r="E13" s="99"/>
      <c r="F13" s="99"/>
      <c r="G13" s="99"/>
      <c r="H13" s="99"/>
      <c r="I13" s="99"/>
      <c r="J13" s="100"/>
      <c r="K13" s="100"/>
      <c r="L13" s="100"/>
      <c r="M13" s="100"/>
      <c r="N13" s="212"/>
    </row>
    <row r="14" spans="1:14" ht="45" customHeight="1" x14ac:dyDescent="0.25">
      <c r="A14" s="211"/>
      <c r="B14" s="101" t="s">
        <v>228</v>
      </c>
      <c r="C14" s="98">
        <v>1</v>
      </c>
      <c r="D14" s="99"/>
      <c r="E14" s="99"/>
      <c r="F14" s="99"/>
      <c r="G14" s="99"/>
      <c r="H14" s="99"/>
      <c r="I14" s="99"/>
      <c r="J14" s="100"/>
      <c r="K14" s="100"/>
      <c r="L14" s="100"/>
      <c r="M14" s="100"/>
      <c r="N14" s="212"/>
    </row>
    <row r="15" spans="1:14" ht="45" customHeight="1" x14ac:dyDescent="0.25">
      <c r="A15" s="211"/>
      <c r="B15" s="101" t="s">
        <v>229</v>
      </c>
      <c r="C15" s="99"/>
      <c r="D15" s="309"/>
      <c r="E15" s="99"/>
      <c r="F15" s="99"/>
      <c r="G15" s="99"/>
      <c r="H15" s="99"/>
      <c r="I15" s="99"/>
      <c r="J15" s="100"/>
      <c r="K15" s="100"/>
      <c r="L15" s="100"/>
      <c r="M15" s="100"/>
      <c r="N15" s="212"/>
    </row>
    <row r="16" spans="1:14" ht="45" customHeight="1" x14ac:dyDescent="0.25">
      <c r="A16" s="211">
        <v>3</v>
      </c>
      <c r="B16" s="317" t="s">
        <v>179</v>
      </c>
      <c r="C16" s="98">
        <f>GURU!T14</f>
        <v>2</v>
      </c>
      <c r="D16" s="322">
        <f>GURU!S12</f>
        <v>3.2083333333333335</v>
      </c>
      <c r="E16" s="99"/>
      <c r="F16" s="99"/>
      <c r="G16" s="99"/>
      <c r="H16" s="98">
        <v>1</v>
      </c>
      <c r="I16" s="99"/>
      <c r="J16" s="100">
        <f>D16-C16-E16</f>
        <v>1.2083333333333335</v>
      </c>
      <c r="K16" s="100">
        <f>D16-C16-F16</f>
        <v>1.2083333333333335</v>
      </c>
      <c r="L16" s="100">
        <f>D16-C16-G16</f>
        <v>1.2083333333333335</v>
      </c>
      <c r="M16" s="100">
        <f>D16-C16-H16</f>
        <v>0.20833333333333348</v>
      </c>
      <c r="N16" s="212">
        <f>D16-C16-I16</f>
        <v>1.2083333333333335</v>
      </c>
    </row>
    <row r="17" spans="1:14" ht="45" customHeight="1" x14ac:dyDescent="0.25">
      <c r="A17" s="211"/>
      <c r="B17" s="101" t="s">
        <v>226</v>
      </c>
      <c r="C17" s="99"/>
      <c r="D17" s="99"/>
      <c r="E17" s="99"/>
      <c r="F17" s="99"/>
      <c r="G17" s="99"/>
      <c r="H17" s="99"/>
      <c r="I17" s="99"/>
      <c r="J17" s="100"/>
      <c r="K17" s="100"/>
      <c r="L17" s="100"/>
      <c r="M17" s="100"/>
      <c r="N17" s="212"/>
    </row>
    <row r="18" spans="1:14" ht="45" customHeight="1" x14ac:dyDescent="0.25">
      <c r="A18" s="310"/>
      <c r="B18" s="198" t="s">
        <v>227</v>
      </c>
      <c r="C18" s="199">
        <v>1</v>
      </c>
      <c r="D18" s="200"/>
      <c r="E18" s="200"/>
      <c r="F18" s="200"/>
      <c r="G18" s="200"/>
      <c r="H18" s="199"/>
      <c r="I18" s="200"/>
      <c r="J18" s="201"/>
      <c r="K18" s="201"/>
      <c r="L18" s="201"/>
      <c r="M18" s="201"/>
      <c r="N18" s="210"/>
    </row>
    <row r="19" spans="1:14" s="202" customFormat="1" ht="45" customHeight="1" x14ac:dyDescent="0.25">
      <c r="A19" s="310"/>
      <c r="B19" s="311" t="s">
        <v>228</v>
      </c>
      <c r="C19" s="312"/>
      <c r="D19" s="313"/>
      <c r="E19" s="314"/>
      <c r="F19" s="314"/>
      <c r="G19" s="314"/>
      <c r="H19" s="312"/>
      <c r="I19" s="314"/>
      <c r="J19" s="315"/>
      <c r="K19" s="315"/>
      <c r="L19" s="315"/>
      <c r="M19" s="315"/>
      <c r="N19" s="316"/>
    </row>
    <row r="20" spans="1:14" ht="45" customHeight="1" x14ac:dyDescent="0.25">
      <c r="A20" s="211"/>
      <c r="B20" s="101" t="s">
        <v>229</v>
      </c>
      <c r="C20" s="98">
        <v>1</v>
      </c>
      <c r="D20" s="98"/>
      <c r="E20" s="99"/>
      <c r="F20" s="99"/>
      <c r="G20" s="99"/>
      <c r="H20" s="99"/>
      <c r="I20" s="99"/>
      <c r="J20" s="100"/>
      <c r="K20" s="100"/>
      <c r="L20" s="100"/>
      <c r="M20" s="100"/>
      <c r="N20" s="212"/>
    </row>
    <row r="21" spans="1:14" ht="45" customHeight="1" x14ac:dyDescent="0.25">
      <c r="A21" s="211">
        <v>4</v>
      </c>
      <c r="B21" s="317" t="s">
        <v>180</v>
      </c>
      <c r="C21" s="98">
        <f>GURU!T16</f>
        <v>3</v>
      </c>
      <c r="D21" s="322">
        <f>GURU!S16</f>
        <v>2.625</v>
      </c>
      <c r="E21" s="99"/>
      <c r="F21" s="99"/>
      <c r="G21" s="99"/>
      <c r="H21" s="99"/>
      <c r="I21" s="99"/>
      <c r="J21" s="100">
        <f>D21-C21-E21</f>
        <v>-0.375</v>
      </c>
      <c r="K21" s="100">
        <f>D21-C21-F21</f>
        <v>-0.375</v>
      </c>
      <c r="L21" s="100">
        <f>D21-C21-G21</f>
        <v>-0.375</v>
      </c>
      <c r="M21" s="100">
        <f>D21-C21-H21</f>
        <v>-0.375</v>
      </c>
      <c r="N21" s="212">
        <f>D21-C21-I21</f>
        <v>-0.375</v>
      </c>
    </row>
    <row r="22" spans="1:14" ht="45" customHeight="1" x14ac:dyDescent="0.25">
      <c r="A22" s="211"/>
      <c r="B22" s="101" t="s">
        <v>226</v>
      </c>
      <c r="C22" s="98"/>
      <c r="D22" s="322"/>
      <c r="E22" s="99"/>
      <c r="F22" s="99"/>
      <c r="G22" s="99"/>
      <c r="H22" s="99"/>
      <c r="I22" s="99"/>
      <c r="J22" s="100"/>
      <c r="K22" s="100"/>
      <c r="L22" s="100"/>
      <c r="M22" s="100"/>
      <c r="N22" s="212"/>
    </row>
    <row r="23" spans="1:14" ht="45" customHeight="1" x14ac:dyDescent="0.25">
      <c r="A23" s="211"/>
      <c r="B23" s="101" t="s">
        <v>227</v>
      </c>
      <c r="C23" s="98">
        <v>1</v>
      </c>
      <c r="D23" s="98"/>
      <c r="E23" s="99"/>
      <c r="F23" s="99"/>
      <c r="G23" s="99"/>
      <c r="H23" s="99"/>
      <c r="I23" s="99"/>
      <c r="J23" s="100"/>
      <c r="K23" s="100"/>
      <c r="L23" s="100"/>
      <c r="M23" s="100"/>
      <c r="N23" s="212"/>
    </row>
    <row r="24" spans="1:14" ht="45" customHeight="1" x14ac:dyDescent="0.25">
      <c r="A24" s="211"/>
      <c r="B24" s="101" t="s">
        <v>228</v>
      </c>
      <c r="C24" s="98">
        <v>1</v>
      </c>
      <c r="D24" s="98"/>
      <c r="E24" s="99"/>
      <c r="F24" s="99"/>
      <c r="G24" s="99"/>
      <c r="H24" s="99"/>
      <c r="I24" s="99"/>
      <c r="J24" s="100"/>
      <c r="K24" s="100"/>
      <c r="L24" s="100"/>
      <c r="M24" s="100"/>
      <c r="N24" s="212"/>
    </row>
    <row r="25" spans="1:14" ht="45" customHeight="1" x14ac:dyDescent="0.25">
      <c r="A25" s="211"/>
      <c r="B25" s="101" t="s">
        <v>229</v>
      </c>
      <c r="C25" s="98">
        <v>1</v>
      </c>
      <c r="D25" s="98"/>
      <c r="E25" s="99"/>
      <c r="F25" s="99"/>
      <c r="G25" s="99"/>
      <c r="H25" s="99"/>
      <c r="I25" s="99"/>
      <c r="J25" s="100"/>
      <c r="K25" s="100"/>
      <c r="L25" s="100"/>
      <c r="M25" s="100"/>
      <c r="N25" s="212"/>
    </row>
    <row r="26" spans="1:14" ht="45" customHeight="1" x14ac:dyDescent="0.25">
      <c r="A26" s="211">
        <v>5</v>
      </c>
      <c r="B26" s="317" t="s">
        <v>181</v>
      </c>
      <c r="C26" s="98">
        <f>GURU!T19</f>
        <v>2</v>
      </c>
      <c r="D26" s="322">
        <f>GURU!S19</f>
        <v>1.9583333333333333</v>
      </c>
      <c r="E26" s="99"/>
      <c r="F26" s="99"/>
      <c r="G26" s="99"/>
      <c r="H26" s="99"/>
      <c r="I26" s="99"/>
      <c r="J26" s="100">
        <f>D26-C26-E26</f>
        <v>-4.1666666666666741E-2</v>
      </c>
      <c r="K26" s="100">
        <f>D26-C26-F26</f>
        <v>-4.1666666666666741E-2</v>
      </c>
      <c r="L26" s="100">
        <f>D26-C26-G26</f>
        <v>-4.1666666666666741E-2</v>
      </c>
      <c r="M26" s="100">
        <f>D26-C26-H26</f>
        <v>-4.1666666666666741E-2</v>
      </c>
      <c r="N26" s="212">
        <f>D26-C26-I26</f>
        <v>-4.1666666666666741E-2</v>
      </c>
    </row>
    <row r="27" spans="1:14" ht="45" customHeight="1" x14ac:dyDescent="0.25">
      <c r="A27" s="211"/>
      <c r="B27" s="101" t="s">
        <v>226</v>
      </c>
      <c r="C27" s="98"/>
      <c r="D27" s="98"/>
      <c r="E27" s="99"/>
      <c r="F27" s="99"/>
      <c r="G27" s="99"/>
      <c r="H27" s="99"/>
      <c r="I27" s="99"/>
      <c r="J27" s="100"/>
      <c r="K27" s="100"/>
      <c r="L27" s="100"/>
      <c r="M27" s="100"/>
      <c r="N27" s="212"/>
    </row>
    <row r="28" spans="1:14" ht="45" customHeight="1" x14ac:dyDescent="0.25">
      <c r="A28" s="211"/>
      <c r="B28" s="101" t="s">
        <v>227</v>
      </c>
      <c r="C28" s="98">
        <v>1</v>
      </c>
      <c r="D28" s="98"/>
      <c r="E28" s="99"/>
      <c r="F28" s="99"/>
      <c r="G28" s="99"/>
      <c r="H28" s="99"/>
      <c r="I28" s="99"/>
      <c r="J28" s="100"/>
      <c r="K28" s="100"/>
      <c r="L28" s="100"/>
      <c r="M28" s="100"/>
      <c r="N28" s="212"/>
    </row>
    <row r="29" spans="1:14" ht="45" customHeight="1" x14ac:dyDescent="0.25">
      <c r="A29" s="211"/>
      <c r="B29" s="101" t="s">
        <v>228</v>
      </c>
      <c r="C29" s="98"/>
      <c r="D29" s="98"/>
      <c r="E29" s="99"/>
      <c r="F29" s="99"/>
      <c r="G29" s="99"/>
      <c r="H29" s="99"/>
      <c r="I29" s="99"/>
      <c r="J29" s="100"/>
      <c r="K29" s="100"/>
      <c r="L29" s="100"/>
      <c r="M29" s="100"/>
      <c r="N29" s="212"/>
    </row>
    <row r="30" spans="1:14" ht="45" customHeight="1" x14ac:dyDescent="0.25">
      <c r="A30" s="211"/>
      <c r="B30" s="101" t="s">
        <v>229</v>
      </c>
      <c r="C30" s="98">
        <v>1</v>
      </c>
      <c r="D30" s="98"/>
      <c r="E30" s="99"/>
      <c r="F30" s="99"/>
      <c r="G30" s="99"/>
      <c r="H30" s="99"/>
      <c r="I30" s="99"/>
      <c r="J30" s="100"/>
      <c r="K30" s="100"/>
      <c r="L30" s="100"/>
      <c r="M30" s="100"/>
      <c r="N30" s="212"/>
    </row>
    <row r="31" spans="1:14" ht="45" customHeight="1" x14ac:dyDescent="0.25">
      <c r="A31" s="211">
        <v>6</v>
      </c>
      <c r="B31" s="317" t="s">
        <v>182</v>
      </c>
      <c r="C31" s="98">
        <f>GURU!T21</f>
        <v>2</v>
      </c>
      <c r="D31" s="322">
        <f>GURU!S21</f>
        <v>1.875</v>
      </c>
      <c r="E31" s="99"/>
      <c r="F31" s="98">
        <v>1</v>
      </c>
      <c r="G31" s="99"/>
      <c r="H31" s="99"/>
      <c r="I31" s="99"/>
      <c r="J31" s="100">
        <f>D31-C31-E31</f>
        <v>-0.125</v>
      </c>
      <c r="K31" s="100">
        <f>D31-C31-F31</f>
        <v>-1.125</v>
      </c>
      <c r="L31" s="100">
        <f>D31-C31-G31</f>
        <v>-0.125</v>
      </c>
      <c r="M31" s="100">
        <f>D31-C31-H31</f>
        <v>-0.125</v>
      </c>
      <c r="N31" s="212">
        <f>D31-C31-I31</f>
        <v>-0.125</v>
      </c>
    </row>
    <row r="32" spans="1:14" ht="45" customHeight="1" x14ac:dyDescent="0.25">
      <c r="A32" s="211"/>
      <c r="B32" s="101" t="s">
        <v>226</v>
      </c>
      <c r="C32" s="98"/>
      <c r="D32" s="98"/>
      <c r="E32" s="99"/>
      <c r="F32" s="99"/>
      <c r="G32" s="99"/>
      <c r="H32" s="99"/>
      <c r="I32" s="99"/>
      <c r="J32" s="100"/>
      <c r="K32" s="100"/>
      <c r="L32" s="100"/>
      <c r="M32" s="100"/>
      <c r="N32" s="212"/>
    </row>
    <row r="33" spans="1:14" s="202" customFormat="1" ht="45" customHeight="1" x14ac:dyDescent="0.25">
      <c r="A33" s="310"/>
      <c r="B33" s="198" t="s">
        <v>227</v>
      </c>
      <c r="C33" s="203">
        <v>1</v>
      </c>
      <c r="D33" s="203"/>
      <c r="E33" s="200"/>
      <c r="F33" s="199"/>
      <c r="G33" s="200"/>
      <c r="H33" s="200"/>
      <c r="I33" s="200"/>
      <c r="J33" s="201"/>
      <c r="K33" s="201"/>
      <c r="L33" s="201"/>
      <c r="M33" s="201"/>
      <c r="N33" s="210"/>
    </row>
    <row r="34" spans="1:14" ht="45" customHeight="1" x14ac:dyDescent="0.25">
      <c r="A34" s="211"/>
      <c r="B34" s="101" t="s">
        <v>228</v>
      </c>
      <c r="C34" s="98"/>
      <c r="D34" s="98"/>
      <c r="E34" s="99"/>
      <c r="F34" s="99"/>
      <c r="G34" s="99"/>
      <c r="H34" s="99"/>
      <c r="I34" s="99"/>
      <c r="J34" s="100"/>
      <c r="K34" s="100"/>
      <c r="L34" s="100"/>
      <c r="M34" s="100"/>
      <c r="N34" s="212"/>
    </row>
    <row r="35" spans="1:14" ht="45" customHeight="1" x14ac:dyDescent="0.25">
      <c r="A35" s="211"/>
      <c r="B35" s="101" t="s">
        <v>229</v>
      </c>
      <c r="C35" s="98"/>
      <c r="D35" s="98"/>
      <c r="E35" s="99"/>
      <c r="F35" s="99"/>
      <c r="G35" s="99"/>
      <c r="H35" s="99"/>
      <c r="I35" s="99"/>
      <c r="J35" s="100"/>
      <c r="K35" s="100"/>
      <c r="L35" s="100"/>
      <c r="M35" s="100"/>
      <c r="N35" s="212"/>
    </row>
    <row r="36" spans="1:14" ht="45" customHeight="1" x14ac:dyDescent="0.25">
      <c r="A36" s="211">
        <v>7</v>
      </c>
      <c r="B36" s="317" t="s">
        <v>183</v>
      </c>
      <c r="C36" s="98">
        <f>GURU!T23</f>
        <v>2</v>
      </c>
      <c r="D36" s="322">
        <f>GURU!S23</f>
        <v>2.0416666666666665</v>
      </c>
      <c r="E36" s="99"/>
      <c r="F36" s="99"/>
      <c r="G36" s="99"/>
      <c r="H36" s="99"/>
      <c r="I36" s="99"/>
      <c r="J36" s="100">
        <f>D36-C36-E36</f>
        <v>4.1666666666666519E-2</v>
      </c>
      <c r="K36" s="100">
        <f>D36-C36-F36</f>
        <v>4.1666666666666519E-2</v>
      </c>
      <c r="L36" s="100">
        <f>D36-C36-G36</f>
        <v>4.1666666666666519E-2</v>
      </c>
      <c r="M36" s="100">
        <f>D36-C36-H36</f>
        <v>4.1666666666666519E-2</v>
      </c>
      <c r="N36" s="212">
        <f>D36-C36-I36</f>
        <v>4.1666666666666519E-2</v>
      </c>
    </row>
    <row r="37" spans="1:14" ht="45" customHeight="1" x14ac:dyDescent="0.25">
      <c r="A37" s="211"/>
      <c r="B37" s="101" t="s">
        <v>226</v>
      </c>
      <c r="C37" s="98"/>
      <c r="D37" s="98"/>
      <c r="E37" s="99"/>
      <c r="F37" s="99"/>
      <c r="G37" s="99"/>
      <c r="H37" s="99"/>
      <c r="I37" s="99"/>
      <c r="J37" s="100"/>
      <c r="K37" s="100"/>
      <c r="L37" s="100"/>
      <c r="M37" s="100"/>
      <c r="N37" s="212"/>
    </row>
    <row r="38" spans="1:14" ht="45" customHeight="1" x14ac:dyDescent="0.25">
      <c r="A38" s="211"/>
      <c r="B38" s="101" t="s">
        <v>227</v>
      </c>
      <c r="C38" s="98"/>
      <c r="D38" s="98"/>
      <c r="E38" s="99"/>
      <c r="F38" s="99"/>
      <c r="G38" s="99"/>
      <c r="H38" s="99"/>
      <c r="I38" s="99"/>
      <c r="J38" s="100"/>
      <c r="K38" s="100"/>
      <c r="L38" s="100"/>
      <c r="M38" s="100"/>
      <c r="N38" s="212"/>
    </row>
    <row r="39" spans="1:14" ht="45" customHeight="1" x14ac:dyDescent="0.25">
      <c r="A39" s="211"/>
      <c r="B39" s="101" t="s">
        <v>228</v>
      </c>
      <c r="C39" s="98">
        <v>1</v>
      </c>
      <c r="D39" s="98"/>
      <c r="E39" s="99"/>
      <c r="F39" s="99"/>
      <c r="G39" s="99"/>
      <c r="H39" s="99"/>
      <c r="I39" s="99"/>
      <c r="J39" s="100"/>
      <c r="K39" s="100"/>
      <c r="L39" s="100"/>
      <c r="M39" s="100"/>
      <c r="N39" s="212"/>
    </row>
    <row r="40" spans="1:14" ht="45" customHeight="1" x14ac:dyDescent="0.25">
      <c r="A40" s="211"/>
      <c r="B40" s="101" t="s">
        <v>229</v>
      </c>
      <c r="C40" s="98">
        <v>1</v>
      </c>
      <c r="D40" s="98"/>
      <c r="E40" s="99"/>
      <c r="F40" s="99"/>
      <c r="G40" s="99"/>
      <c r="H40" s="99"/>
      <c r="I40" s="99"/>
      <c r="J40" s="100"/>
      <c r="K40" s="100"/>
      <c r="L40" s="100"/>
      <c r="M40" s="100"/>
      <c r="N40" s="212"/>
    </row>
    <row r="41" spans="1:14" ht="45" customHeight="1" x14ac:dyDescent="0.25">
      <c r="A41" s="211">
        <v>8</v>
      </c>
      <c r="B41" s="317" t="s">
        <v>185</v>
      </c>
      <c r="C41" s="98">
        <f>GURU!T25</f>
        <v>3</v>
      </c>
      <c r="D41" s="322">
        <f>GURU!S25</f>
        <v>2.8333333333333335</v>
      </c>
      <c r="E41" s="99"/>
      <c r="F41" s="99"/>
      <c r="G41" s="99"/>
      <c r="H41" s="99"/>
      <c r="I41" s="98">
        <v>1</v>
      </c>
      <c r="J41" s="100">
        <f>D41-C41-E41</f>
        <v>-0.16666666666666652</v>
      </c>
      <c r="K41" s="100">
        <f>D41-C41-F41</f>
        <v>-0.16666666666666652</v>
      </c>
      <c r="L41" s="100">
        <f>D41-C41-G41</f>
        <v>-0.16666666666666652</v>
      </c>
      <c r="M41" s="100">
        <f>D41-C41-H41</f>
        <v>-0.16666666666666652</v>
      </c>
      <c r="N41" s="212">
        <f>D41-C41-I41</f>
        <v>-1.1666666666666665</v>
      </c>
    </row>
    <row r="42" spans="1:14" ht="45" customHeight="1" x14ac:dyDescent="0.25">
      <c r="A42" s="211"/>
      <c r="B42" s="101" t="s">
        <v>226</v>
      </c>
      <c r="C42" s="98"/>
      <c r="D42" s="98"/>
      <c r="E42" s="99"/>
      <c r="F42" s="99"/>
      <c r="G42" s="99"/>
      <c r="H42" s="99"/>
      <c r="I42" s="99"/>
      <c r="J42" s="100"/>
      <c r="K42" s="100"/>
      <c r="L42" s="100"/>
      <c r="M42" s="100"/>
      <c r="N42" s="212"/>
    </row>
    <row r="43" spans="1:14" ht="45" customHeight="1" x14ac:dyDescent="0.25">
      <c r="A43" s="211"/>
      <c r="B43" s="101" t="s">
        <v>227</v>
      </c>
      <c r="C43" s="98">
        <v>1</v>
      </c>
      <c r="D43" s="98"/>
      <c r="E43" s="99"/>
      <c r="F43" s="99"/>
      <c r="G43" s="99"/>
      <c r="H43" s="99"/>
      <c r="I43" s="99"/>
      <c r="J43" s="100"/>
      <c r="K43" s="100"/>
      <c r="L43" s="100"/>
      <c r="M43" s="100"/>
      <c r="N43" s="212"/>
    </row>
    <row r="44" spans="1:14" ht="45" customHeight="1" x14ac:dyDescent="0.25">
      <c r="A44" s="211"/>
      <c r="B44" s="101" t="s">
        <v>228</v>
      </c>
      <c r="C44" s="98"/>
      <c r="D44" s="98"/>
      <c r="E44" s="99"/>
      <c r="F44" s="99"/>
      <c r="G44" s="99"/>
      <c r="H44" s="99"/>
      <c r="I44" s="99"/>
      <c r="J44" s="100"/>
      <c r="K44" s="100"/>
      <c r="L44" s="100"/>
      <c r="M44" s="100"/>
      <c r="N44" s="212"/>
    </row>
    <row r="45" spans="1:14" s="202" customFormat="1" ht="45" customHeight="1" x14ac:dyDescent="0.25">
      <c r="A45" s="310"/>
      <c r="B45" s="198" t="s">
        <v>229</v>
      </c>
      <c r="C45" s="199">
        <v>2</v>
      </c>
      <c r="D45" s="199"/>
      <c r="E45" s="200"/>
      <c r="F45" s="200"/>
      <c r="G45" s="200"/>
      <c r="H45" s="200"/>
      <c r="I45" s="199"/>
      <c r="J45" s="201"/>
      <c r="K45" s="201"/>
      <c r="L45" s="201"/>
      <c r="M45" s="201"/>
      <c r="N45" s="210"/>
    </row>
    <row r="46" spans="1:14" ht="45" customHeight="1" x14ac:dyDescent="0.25">
      <c r="A46" s="211">
        <v>9</v>
      </c>
      <c r="B46" s="317" t="s">
        <v>190</v>
      </c>
      <c r="C46" s="98">
        <f>GURU!T30</f>
        <v>2</v>
      </c>
      <c r="D46" s="322">
        <f>GURU!S30</f>
        <v>1.875</v>
      </c>
      <c r="E46" s="99"/>
      <c r="F46" s="99"/>
      <c r="G46" s="99"/>
      <c r="H46" s="99"/>
      <c r="I46" s="99"/>
      <c r="J46" s="100">
        <f>D46-C46-E46</f>
        <v>-0.125</v>
      </c>
      <c r="K46" s="100">
        <f>D46-C46-F46</f>
        <v>-0.125</v>
      </c>
      <c r="L46" s="100">
        <f>D46-C46-G46</f>
        <v>-0.125</v>
      </c>
      <c r="M46" s="100">
        <f>D46-C46-H46</f>
        <v>-0.125</v>
      </c>
      <c r="N46" s="212">
        <f>D46-C46-I46</f>
        <v>-0.125</v>
      </c>
    </row>
    <row r="47" spans="1:14" ht="45" customHeight="1" x14ac:dyDescent="0.25">
      <c r="A47" s="211"/>
      <c r="B47" s="101" t="s">
        <v>226</v>
      </c>
      <c r="C47" s="98"/>
      <c r="D47" s="98"/>
      <c r="E47" s="99"/>
      <c r="F47" s="99"/>
      <c r="G47" s="99"/>
      <c r="H47" s="99"/>
      <c r="I47" s="99"/>
      <c r="J47" s="100"/>
      <c r="K47" s="100"/>
      <c r="L47" s="100"/>
      <c r="M47" s="100"/>
      <c r="N47" s="212"/>
    </row>
    <row r="48" spans="1:14" ht="45" customHeight="1" x14ac:dyDescent="0.25">
      <c r="A48" s="211"/>
      <c r="B48" s="101" t="s">
        <v>227</v>
      </c>
      <c r="C48" s="98"/>
      <c r="D48" s="98"/>
      <c r="E48" s="99"/>
      <c r="F48" s="99"/>
      <c r="G48" s="99"/>
      <c r="H48" s="99"/>
      <c r="I48" s="99"/>
      <c r="J48" s="100"/>
      <c r="K48" s="100"/>
      <c r="L48" s="100"/>
      <c r="M48" s="100"/>
      <c r="N48" s="212"/>
    </row>
    <row r="49" spans="1:14" ht="45" customHeight="1" x14ac:dyDescent="0.25">
      <c r="A49" s="211"/>
      <c r="B49" s="101" t="s">
        <v>228</v>
      </c>
      <c r="C49" s="98"/>
      <c r="D49" s="98"/>
      <c r="E49" s="99"/>
      <c r="F49" s="99"/>
      <c r="G49" s="99"/>
      <c r="H49" s="99"/>
      <c r="I49" s="99"/>
      <c r="J49" s="100"/>
      <c r="K49" s="100"/>
      <c r="L49" s="100"/>
      <c r="M49" s="100"/>
      <c r="N49" s="212"/>
    </row>
    <row r="50" spans="1:14" ht="45" customHeight="1" x14ac:dyDescent="0.25">
      <c r="A50" s="211"/>
      <c r="B50" s="101" t="s">
        <v>229</v>
      </c>
      <c r="C50" s="98">
        <v>1</v>
      </c>
      <c r="D50" s="98"/>
      <c r="E50" s="99"/>
      <c r="F50" s="99"/>
      <c r="G50" s="99"/>
      <c r="H50" s="99"/>
      <c r="I50" s="99"/>
      <c r="J50" s="100"/>
      <c r="K50" s="100"/>
      <c r="L50" s="100"/>
      <c r="M50" s="100"/>
      <c r="N50" s="212"/>
    </row>
    <row r="51" spans="1:14" ht="45" customHeight="1" x14ac:dyDescent="0.25">
      <c r="A51" s="211">
        <v>10</v>
      </c>
      <c r="B51" s="317" t="s">
        <v>191</v>
      </c>
      <c r="C51" s="102">
        <f>GURU!T32</f>
        <v>1</v>
      </c>
      <c r="D51" s="323">
        <f>GURU!S32</f>
        <v>1.8333333333333333</v>
      </c>
      <c r="E51" s="99"/>
      <c r="F51" s="99"/>
      <c r="G51" s="99"/>
      <c r="H51" s="98">
        <v>1</v>
      </c>
      <c r="I51" s="99"/>
      <c r="J51" s="100">
        <f>D51-C51-E51</f>
        <v>0.83333333333333326</v>
      </c>
      <c r="K51" s="100">
        <f>D51-C51-F51</f>
        <v>0.83333333333333326</v>
      </c>
      <c r="L51" s="100">
        <f>D51-C51-G51</f>
        <v>0.83333333333333326</v>
      </c>
      <c r="M51" s="100">
        <f>D51-C51-H51</f>
        <v>-0.16666666666666674</v>
      </c>
      <c r="N51" s="212">
        <f>D51-C51-I51</f>
        <v>0.83333333333333326</v>
      </c>
    </row>
    <row r="52" spans="1:14" ht="45" customHeight="1" x14ac:dyDescent="0.25">
      <c r="A52" s="211"/>
      <c r="B52" s="101" t="s">
        <v>226</v>
      </c>
      <c r="C52" s="98"/>
      <c r="D52" s="98"/>
      <c r="E52" s="99"/>
      <c r="F52" s="99"/>
      <c r="G52" s="99"/>
      <c r="H52" s="99"/>
      <c r="I52" s="99"/>
      <c r="J52" s="100"/>
      <c r="K52" s="100"/>
      <c r="L52" s="100"/>
      <c r="M52" s="100"/>
      <c r="N52" s="212"/>
    </row>
    <row r="53" spans="1:14" ht="45" customHeight="1" x14ac:dyDescent="0.25">
      <c r="A53" s="211"/>
      <c r="B53" s="198" t="s">
        <v>227</v>
      </c>
      <c r="C53" s="203">
        <v>1</v>
      </c>
      <c r="D53" s="203"/>
      <c r="E53" s="200"/>
      <c r="F53" s="200"/>
      <c r="G53" s="200"/>
      <c r="H53" s="199">
        <v>1</v>
      </c>
      <c r="I53" s="200"/>
      <c r="J53" s="201"/>
      <c r="K53" s="201"/>
      <c r="L53" s="201"/>
      <c r="M53" s="201"/>
      <c r="N53" s="210"/>
    </row>
    <row r="54" spans="1:14" ht="45" customHeight="1" x14ac:dyDescent="0.25">
      <c r="A54" s="211"/>
      <c r="B54" s="101" t="s">
        <v>228</v>
      </c>
      <c r="C54" s="98"/>
      <c r="D54" s="98"/>
      <c r="E54" s="99"/>
      <c r="F54" s="99"/>
      <c r="G54" s="99"/>
      <c r="H54" s="99"/>
      <c r="I54" s="99"/>
      <c r="J54" s="100"/>
      <c r="K54" s="100"/>
      <c r="L54" s="100"/>
      <c r="M54" s="100"/>
      <c r="N54" s="212"/>
    </row>
    <row r="55" spans="1:14" ht="45" customHeight="1" x14ac:dyDescent="0.25">
      <c r="A55" s="211"/>
      <c r="B55" s="101" t="s">
        <v>229</v>
      </c>
      <c r="C55" s="98"/>
      <c r="D55" s="98"/>
      <c r="E55" s="99"/>
      <c r="F55" s="99"/>
      <c r="G55" s="99"/>
      <c r="H55" s="99"/>
      <c r="I55" s="99"/>
      <c r="J55" s="100"/>
      <c r="K55" s="100"/>
      <c r="L55" s="100"/>
      <c r="M55" s="100"/>
      <c r="N55" s="212"/>
    </row>
    <row r="56" spans="1:14" ht="45" customHeight="1" x14ac:dyDescent="0.25">
      <c r="A56" s="211">
        <v>11</v>
      </c>
      <c r="B56" s="317" t="s">
        <v>192</v>
      </c>
      <c r="C56" s="102">
        <f>GURU!T33</f>
        <v>1</v>
      </c>
      <c r="D56" s="323">
        <f>GURU!S33</f>
        <v>1.8333333333333333</v>
      </c>
      <c r="E56" s="99"/>
      <c r="F56" s="99"/>
      <c r="G56" s="99"/>
      <c r="H56" s="99"/>
      <c r="I56" s="99"/>
      <c r="J56" s="100">
        <f>D56-C56-E56</f>
        <v>0.83333333333333326</v>
      </c>
      <c r="K56" s="100">
        <f>D56-C56-F56</f>
        <v>0.83333333333333326</v>
      </c>
      <c r="L56" s="100">
        <f>D56-C56-G56</f>
        <v>0.83333333333333326</v>
      </c>
      <c r="M56" s="100">
        <f>D56-C56-H56</f>
        <v>0.83333333333333326</v>
      </c>
      <c r="N56" s="212">
        <f>D56-C56-I56</f>
        <v>0.83333333333333326</v>
      </c>
    </row>
    <row r="57" spans="1:14" ht="45" customHeight="1" x14ac:dyDescent="0.25">
      <c r="A57" s="211"/>
      <c r="B57" s="101" t="s">
        <v>226</v>
      </c>
      <c r="C57" s="98"/>
      <c r="D57" s="98"/>
      <c r="E57" s="99"/>
      <c r="F57" s="99"/>
      <c r="G57" s="99"/>
      <c r="H57" s="99"/>
      <c r="I57" s="99"/>
      <c r="J57" s="100"/>
      <c r="K57" s="100"/>
      <c r="L57" s="100"/>
      <c r="M57" s="100"/>
      <c r="N57" s="212"/>
    </row>
    <row r="58" spans="1:14" ht="45" customHeight="1" x14ac:dyDescent="0.25">
      <c r="A58" s="211"/>
      <c r="B58" s="101" t="s">
        <v>227</v>
      </c>
      <c r="C58" s="98"/>
      <c r="D58" s="98"/>
      <c r="E58" s="99"/>
      <c r="F58" s="99"/>
      <c r="G58" s="99"/>
      <c r="H58" s="99"/>
      <c r="I58" s="99"/>
      <c r="J58" s="100"/>
      <c r="K58" s="100"/>
      <c r="L58" s="100"/>
      <c r="M58" s="100"/>
      <c r="N58" s="212"/>
    </row>
    <row r="59" spans="1:14" ht="45" customHeight="1" x14ac:dyDescent="0.25">
      <c r="A59" s="211"/>
      <c r="B59" s="101" t="s">
        <v>228</v>
      </c>
      <c r="C59" s="102"/>
      <c r="D59" s="102"/>
      <c r="E59" s="99"/>
      <c r="F59" s="99"/>
      <c r="G59" s="99"/>
      <c r="H59" s="99"/>
      <c r="I59" s="99"/>
      <c r="J59" s="100"/>
      <c r="K59" s="100"/>
      <c r="L59" s="100"/>
      <c r="M59" s="100"/>
      <c r="N59" s="212"/>
    </row>
    <row r="60" spans="1:14" ht="45" customHeight="1" x14ac:dyDescent="0.25">
      <c r="A60" s="211"/>
      <c r="B60" s="101" t="s">
        <v>229</v>
      </c>
      <c r="C60" s="98">
        <v>1</v>
      </c>
      <c r="D60" s="98"/>
      <c r="E60" s="99"/>
      <c r="F60" s="99"/>
      <c r="G60" s="99"/>
      <c r="H60" s="99"/>
      <c r="I60" s="99"/>
      <c r="J60" s="100"/>
      <c r="K60" s="100"/>
      <c r="L60" s="100"/>
      <c r="M60" s="100"/>
      <c r="N60" s="212"/>
    </row>
    <row r="61" spans="1:14" s="205" customFormat="1" ht="45" customHeight="1" x14ac:dyDescent="0.25">
      <c r="A61" s="345">
        <v>12</v>
      </c>
      <c r="B61" s="343" t="s">
        <v>597</v>
      </c>
      <c r="C61" s="344">
        <f>GURU!T29</f>
        <v>0</v>
      </c>
      <c r="D61" s="344">
        <v>2</v>
      </c>
      <c r="E61" s="204"/>
      <c r="F61" s="204"/>
      <c r="G61" s="204"/>
      <c r="H61" s="204"/>
      <c r="I61" s="204"/>
      <c r="J61" s="100">
        <f>D61-C61-E61</f>
        <v>2</v>
      </c>
      <c r="K61" s="100">
        <f>D61-C61-F61</f>
        <v>2</v>
      </c>
      <c r="L61" s="100">
        <f>D61-C61-G61</f>
        <v>2</v>
      </c>
      <c r="M61" s="100">
        <f>D61-C61-H61</f>
        <v>2</v>
      </c>
      <c r="N61" s="212">
        <f>D61-C61-I61</f>
        <v>2</v>
      </c>
    </row>
    <row r="62" spans="1:14" ht="45" customHeight="1" x14ac:dyDescent="0.25">
      <c r="A62" s="211"/>
      <c r="B62" s="101" t="s">
        <v>226</v>
      </c>
      <c r="C62" s="98"/>
      <c r="D62" s="98"/>
      <c r="E62" s="99"/>
      <c r="F62" s="99"/>
      <c r="G62" s="99"/>
      <c r="H62" s="99"/>
      <c r="I62" s="99"/>
      <c r="J62" s="100"/>
      <c r="K62" s="100"/>
      <c r="L62" s="100"/>
      <c r="M62" s="100"/>
      <c r="N62" s="212"/>
    </row>
    <row r="63" spans="1:14" ht="45" customHeight="1" x14ac:dyDescent="0.25">
      <c r="A63" s="211"/>
      <c r="B63" s="101" t="s">
        <v>227</v>
      </c>
      <c r="C63" s="98"/>
      <c r="D63" s="98"/>
      <c r="E63" s="99"/>
      <c r="F63" s="99"/>
      <c r="G63" s="99"/>
      <c r="H63" s="99"/>
      <c r="I63" s="99"/>
      <c r="J63" s="100"/>
      <c r="K63" s="100"/>
      <c r="L63" s="100"/>
      <c r="M63" s="100"/>
      <c r="N63" s="212"/>
    </row>
    <row r="64" spans="1:14" ht="45" customHeight="1" x14ac:dyDescent="0.25">
      <c r="A64" s="211"/>
      <c r="B64" s="101" t="s">
        <v>228</v>
      </c>
      <c r="C64" s="98"/>
      <c r="D64" s="98"/>
      <c r="E64" s="99"/>
      <c r="F64" s="99"/>
      <c r="G64" s="99"/>
      <c r="H64" s="99"/>
      <c r="I64" s="99"/>
      <c r="J64" s="100"/>
      <c r="K64" s="100"/>
      <c r="L64" s="100"/>
      <c r="M64" s="100"/>
      <c r="N64" s="212"/>
    </row>
    <row r="65" spans="1:14" ht="45" customHeight="1" x14ac:dyDescent="0.25">
      <c r="A65" s="211"/>
      <c r="B65" s="101" t="s">
        <v>229</v>
      </c>
      <c r="C65" s="98"/>
      <c r="D65" s="98"/>
      <c r="E65" s="99"/>
      <c r="F65" s="99"/>
      <c r="G65" s="99"/>
      <c r="H65" s="99"/>
      <c r="I65" s="99"/>
      <c r="J65" s="100"/>
      <c r="K65" s="100"/>
      <c r="L65" s="100"/>
      <c r="M65" s="100"/>
      <c r="N65" s="212"/>
    </row>
    <row r="66" spans="1:14" ht="45" customHeight="1" x14ac:dyDescent="0.25">
      <c r="A66" s="211">
        <v>13</v>
      </c>
      <c r="B66" s="317" t="s">
        <v>230</v>
      </c>
      <c r="C66" s="98"/>
      <c r="D66" s="98"/>
      <c r="E66" s="99"/>
      <c r="F66" s="99"/>
      <c r="G66" s="99"/>
      <c r="H66" s="99"/>
      <c r="I66" s="99"/>
      <c r="J66" s="100">
        <f>D66-C66-E66</f>
        <v>0</v>
      </c>
      <c r="K66" s="100">
        <f>D66-C66-F66</f>
        <v>0</v>
      </c>
      <c r="L66" s="100">
        <f>D66-C66-G66</f>
        <v>0</v>
      </c>
      <c r="M66" s="100">
        <f>D66-C66-H66</f>
        <v>0</v>
      </c>
      <c r="N66" s="212">
        <f>D66-C66-I66</f>
        <v>0</v>
      </c>
    </row>
    <row r="67" spans="1:14" ht="45" customHeight="1" x14ac:dyDescent="0.25">
      <c r="A67" s="211"/>
      <c r="B67" s="101" t="s">
        <v>231</v>
      </c>
      <c r="C67" s="102"/>
      <c r="D67" s="102"/>
      <c r="E67" s="99"/>
      <c r="F67" s="99"/>
      <c r="G67" s="99"/>
      <c r="H67" s="99"/>
      <c r="I67" s="99"/>
      <c r="J67" s="100"/>
      <c r="K67" s="100"/>
      <c r="L67" s="100"/>
      <c r="M67" s="100"/>
      <c r="N67" s="212"/>
    </row>
    <row r="68" spans="1:14" ht="45" customHeight="1" x14ac:dyDescent="0.25">
      <c r="A68" s="211"/>
      <c r="B68" s="101" t="s">
        <v>232</v>
      </c>
      <c r="C68" s="98"/>
      <c r="D68" s="98"/>
      <c r="E68" s="99"/>
      <c r="F68" s="99"/>
      <c r="G68" s="99"/>
      <c r="H68" s="99"/>
      <c r="I68" s="99"/>
      <c r="J68" s="100"/>
      <c r="K68" s="100"/>
      <c r="L68" s="100"/>
      <c r="M68" s="100"/>
      <c r="N68" s="212"/>
    </row>
    <row r="69" spans="1:14" ht="45" customHeight="1" x14ac:dyDescent="0.25">
      <c r="A69" s="211"/>
      <c r="B69" s="101" t="s">
        <v>233</v>
      </c>
      <c r="C69" s="98"/>
      <c r="D69" s="98"/>
      <c r="E69" s="99"/>
      <c r="F69" s="99"/>
      <c r="G69" s="99"/>
      <c r="H69" s="99"/>
      <c r="I69" s="99"/>
      <c r="J69" s="100"/>
      <c r="K69" s="100"/>
      <c r="L69" s="100"/>
      <c r="M69" s="100"/>
      <c r="N69" s="212"/>
    </row>
    <row r="70" spans="1:14" ht="45" customHeight="1" x14ac:dyDescent="0.25">
      <c r="A70" s="211"/>
      <c r="B70" s="101" t="s">
        <v>234</v>
      </c>
      <c r="C70" s="98"/>
      <c r="D70" s="98"/>
      <c r="E70" s="99"/>
      <c r="F70" s="99"/>
      <c r="G70" s="99"/>
      <c r="H70" s="99"/>
      <c r="I70" s="99"/>
      <c r="J70" s="100"/>
      <c r="K70" s="100"/>
      <c r="L70" s="100"/>
      <c r="M70" s="100"/>
      <c r="N70" s="212"/>
    </row>
    <row r="71" spans="1:14" ht="45" customHeight="1" x14ac:dyDescent="0.25">
      <c r="A71" s="211">
        <v>14</v>
      </c>
      <c r="B71" s="320" t="s">
        <v>235</v>
      </c>
      <c r="C71" s="98"/>
      <c r="D71" s="98"/>
      <c r="E71" s="99"/>
      <c r="F71" s="99"/>
      <c r="G71" s="99"/>
      <c r="H71" s="99"/>
      <c r="I71" s="99"/>
      <c r="J71" s="100">
        <f t="shared" ref="J71:J77" si="2">D71-C71-E71</f>
        <v>0</v>
      </c>
      <c r="K71" s="100">
        <f t="shared" ref="K71:K77" si="3">D71-C71-F71</f>
        <v>0</v>
      </c>
      <c r="L71" s="100">
        <f t="shared" ref="L71:L77" si="4">D71-C71-G71</f>
        <v>0</v>
      </c>
      <c r="M71" s="100">
        <f t="shared" ref="M71:M77" si="5">D71-C71-H71</f>
        <v>0</v>
      </c>
      <c r="N71" s="212">
        <f t="shared" ref="N71:N77" si="6">D71-C71-I71</f>
        <v>0</v>
      </c>
    </row>
    <row r="72" spans="1:14" ht="45" customHeight="1" x14ac:dyDescent="0.25">
      <c r="A72" s="211">
        <v>15</v>
      </c>
      <c r="B72" s="320" t="s">
        <v>236</v>
      </c>
      <c r="C72" s="98"/>
      <c r="D72" s="98"/>
      <c r="E72" s="99"/>
      <c r="F72" s="99"/>
      <c r="G72" s="99"/>
      <c r="H72" s="99"/>
      <c r="I72" s="99"/>
      <c r="J72" s="100">
        <f t="shared" si="2"/>
        <v>0</v>
      </c>
      <c r="K72" s="100">
        <f t="shared" si="3"/>
        <v>0</v>
      </c>
      <c r="L72" s="100">
        <f t="shared" si="4"/>
        <v>0</v>
      </c>
      <c r="M72" s="100">
        <f t="shared" si="5"/>
        <v>0</v>
      </c>
      <c r="N72" s="212">
        <f t="shared" si="6"/>
        <v>0</v>
      </c>
    </row>
    <row r="73" spans="1:14" ht="45" customHeight="1" x14ac:dyDescent="0.25">
      <c r="A73" s="211">
        <v>16</v>
      </c>
      <c r="B73" s="320" t="s">
        <v>237</v>
      </c>
      <c r="C73" s="98"/>
      <c r="D73" s="98"/>
      <c r="E73" s="99"/>
      <c r="F73" s="99"/>
      <c r="G73" s="99"/>
      <c r="H73" s="99"/>
      <c r="I73" s="99"/>
      <c r="J73" s="100">
        <f t="shared" si="2"/>
        <v>0</v>
      </c>
      <c r="K73" s="100">
        <f t="shared" si="3"/>
        <v>0</v>
      </c>
      <c r="L73" s="100">
        <f t="shared" si="4"/>
        <v>0</v>
      </c>
      <c r="M73" s="100">
        <f t="shared" si="5"/>
        <v>0</v>
      </c>
      <c r="N73" s="212">
        <f t="shared" si="6"/>
        <v>0</v>
      </c>
    </row>
    <row r="74" spans="1:14" ht="45" customHeight="1" x14ac:dyDescent="0.25">
      <c r="A74" s="211">
        <v>17</v>
      </c>
      <c r="B74" s="320" t="s">
        <v>238</v>
      </c>
      <c r="C74" s="98"/>
      <c r="D74" s="98"/>
      <c r="E74" s="99"/>
      <c r="F74" s="99"/>
      <c r="G74" s="99"/>
      <c r="H74" s="99"/>
      <c r="I74" s="99"/>
      <c r="J74" s="100">
        <f t="shared" si="2"/>
        <v>0</v>
      </c>
      <c r="K74" s="100">
        <f t="shared" si="3"/>
        <v>0</v>
      </c>
      <c r="L74" s="100">
        <f t="shared" si="4"/>
        <v>0</v>
      </c>
      <c r="M74" s="100">
        <f t="shared" si="5"/>
        <v>0</v>
      </c>
      <c r="N74" s="212">
        <f t="shared" si="6"/>
        <v>0</v>
      </c>
    </row>
    <row r="75" spans="1:14" ht="45" customHeight="1" x14ac:dyDescent="0.25">
      <c r="A75" s="211">
        <v>18</v>
      </c>
      <c r="B75" s="320" t="s">
        <v>239</v>
      </c>
      <c r="C75" s="98"/>
      <c r="D75" s="98"/>
      <c r="E75" s="99"/>
      <c r="F75" s="99"/>
      <c r="G75" s="99"/>
      <c r="H75" s="99"/>
      <c r="I75" s="99"/>
      <c r="J75" s="100">
        <f t="shared" si="2"/>
        <v>0</v>
      </c>
      <c r="K75" s="100">
        <f t="shared" si="3"/>
        <v>0</v>
      </c>
      <c r="L75" s="100">
        <f t="shared" si="4"/>
        <v>0</v>
      </c>
      <c r="M75" s="100">
        <f t="shared" si="5"/>
        <v>0</v>
      </c>
      <c r="N75" s="212">
        <f t="shared" si="6"/>
        <v>0</v>
      </c>
    </row>
    <row r="76" spans="1:14" ht="45" customHeight="1" x14ac:dyDescent="0.25">
      <c r="A76" s="211">
        <v>19</v>
      </c>
      <c r="B76" s="320" t="s">
        <v>240</v>
      </c>
      <c r="C76" s="98"/>
      <c r="D76" s="98"/>
      <c r="E76" s="99"/>
      <c r="F76" s="99"/>
      <c r="G76" s="99"/>
      <c r="H76" s="99"/>
      <c r="I76" s="99"/>
      <c r="J76" s="100">
        <f t="shared" si="2"/>
        <v>0</v>
      </c>
      <c r="K76" s="100">
        <f t="shared" si="3"/>
        <v>0</v>
      </c>
      <c r="L76" s="100">
        <f t="shared" si="4"/>
        <v>0</v>
      </c>
      <c r="M76" s="100">
        <f t="shared" si="5"/>
        <v>0</v>
      </c>
      <c r="N76" s="212">
        <f t="shared" si="6"/>
        <v>0</v>
      </c>
    </row>
    <row r="77" spans="1:14" ht="45" customHeight="1" thickBot="1" x14ac:dyDescent="0.3">
      <c r="A77" s="213">
        <v>20</v>
      </c>
      <c r="B77" s="321" t="s">
        <v>241</v>
      </c>
      <c r="C77" s="214"/>
      <c r="D77" s="214"/>
      <c r="E77" s="215"/>
      <c r="F77" s="215"/>
      <c r="G77" s="215"/>
      <c r="H77" s="215"/>
      <c r="I77" s="215"/>
      <c r="J77" s="216">
        <f t="shared" si="2"/>
        <v>0</v>
      </c>
      <c r="K77" s="216">
        <f t="shared" si="3"/>
        <v>0</v>
      </c>
      <c r="L77" s="216">
        <f t="shared" si="4"/>
        <v>0</v>
      </c>
      <c r="M77" s="216">
        <f t="shared" si="5"/>
        <v>0</v>
      </c>
      <c r="N77" s="217">
        <f t="shared" si="6"/>
        <v>0</v>
      </c>
    </row>
    <row r="78" spans="1:14" ht="15.75" customHeight="1" x14ac:dyDescent="0.25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</row>
    <row r="79" spans="1:14" ht="18" x14ac:dyDescent="0.25">
      <c r="A79" s="424" t="s">
        <v>376</v>
      </c>
      <c r="B79" s="424"/>
      <c r="C79" s="90"/>
      <c r="D79" s="90"/>
      <c r="E79" s="90"/>
      <c r="F79" s="90"/>
      <c r="G79" s="90"/>
      <c r="H79" s="90"/>
      <c r="I79" s="417" t="str">
        <f>'STRUKTUR PETA JABATAN'!V35</f>
        <v>Karangtengah, Agustus 2025</v>
      </c>
      <c r="J79" s="417"/>
      <c r="K79" s="417"/>
      <c r="L79" s="417"/>
      <c r="M79" s="417"/>
    </row>
    <row r="80" spans="1:14" ht="18" x14ac:dyDescent="0.25">
      <c r="A80" s="324"/>
      <c r="B80" s="326" t="s">
        <v>607</v>
      </c>
      <c r="C80" s="91"/>
      <c r="D80" s="91"/>
      <c r="E80" s="91"/>
      <c r="F80" s="91"/>
      <c r="G80" s="91"/>
      <c r="H80" s="91"/>
      <c r="I80" s="417" t="str">
        <f>'STRUKTUR PETA JABATAN'!V36</f>
        <v>Kepala SMP Negeri 2 Karangtengah</v>
      </c>
      <c r="J80" s="417"/>
      <c r="K80" s="417"/>
      <c r="L80" s="417"/>
      <c r="M80" s="417"/>
    </row>
    <row r="81" spans="1:13" ht="18" x14ac:dyDescent="0.25">
      <c r="A81" s="325"/>
      <c r="B81" s="326" t="s">
        <v>606</v>
      </c>
      <c r="C81" s="91"/>
      <c r="D81" s="91"/>
      <c r="E81" s="91"/>
      <c r="F81" s="91"/>
      <c r="G81" s="91"/>
      <c r="H81" s="91"/>
      <c r="I81" s="417"/>
      <c r="J81" s="417"/>
      <c r="K81" s="417"/>
      <c r="L81" s="417"/>
      <c r="M81" s="417"/>
    </row>
    <row r="82" spans="1:13" ht="18" x14ac:dyDescent="0.25">
      <c r="A82" s="91"/>
      <c r="B82" s="91"/>
      <c r="C82" s="91"/>
      <c r="D82" s="91"/>
      <c r="E82" s="91"/>
      <c r="F82" s="91"/>
      <c r="G82" s="91"/>
      <c r="H82" s="91"/>
      <c r="I82" s="417"/>
      <c r="J82" s="417"/>
      <c r="K82" s="417"/>
      <c r="L82" s="417"/>
      <c r="M82" s="417"/>
    </row>
    <row r="83" spans="1:13" ht="18" x14ac:dyDescent="0.25">
      <c r="A83" s="91"/>
      <c r="B83" s="91"/>
      <c r="C83" s="91"/>
      <c r="D83" s="91"/>
      <c r="E83" s="91"/>
      <c r="F83" s="91"/>
      <c r="G83" s="91"/>
      <c r="H83" s="91"/>
      <c r="I83" s="417"/>
      <c r="J83" s="417"/>
      <c r="K83" s="417"/>
      <c r="L83" s="417"/>
      <c r="M83" s="417"/>
    </row>
    <row r="84" spans="1:13" ht="18" x14ac:dyDescent="0.25">
      <c r="A84" s="91"/>
      <c r="B84" s="91"/>
      <c r="C84" s="91"/>
      <c r="D84" s="91"/>
      <c r="E84" s="91"/>
      <c r="F84" s="91"/>
      <c r="G84" s="91"/>
      <c r="H84" s="91"/>
      <c r="I84" s="415" t="str">
        <f>'STRUKTUR PETA JABATAN'!V40</f>
        <v>Priyantono, S.Pd., M.Pd.</v>
      </c>
      <c r="J84" s="415"/>
      <c r="K84" s="415"/>
      <c r="L84" s="415"/>
      <c r="M84" s="415"/>
    </row>
    <row r="85" spans="1:13" ht="18" x14ac:dyDescent="0.25">
      <c r="A85" s="91"/>
      <c r="B85" s="91"/>
      <c r="C85" s="91"/>
      <c r="D85" s="91"/>
      <c r="E85" s="91"/>
      <c r="F85" s="91"/>
      <c r="G85" s="91"/>
      <c r="H85" s="91"/>
      <c r="I85" s="417" t="str">
        <f>'STRUKTUR PETA JABATAN'!V41</f>
        <v>Pembina Utama Muda, IV/c</v>
      </c>
      <c r="J85" s="417"/>
      <c r="K85" s="417"/>
      <c r="L85" s="417"/>
      <c r="M85" s="417"/>
    </row>
    <row r="86" spans="1:13" ht="18" x14ac:dyDescent="0.25">
      <c r="A86" s="92"/>
      <c r="B86" s="92"/>
      <c r="C86" s="92"/>
      <c r="D86" s="92"/>
      <c r="E86" s="92"/>
      <c r="F86" s="92"/>
      <c r="G86" s="92"/>
      <c r="H86" s="92"/>
      <c r="I86" s="417" t="str">
        <f>'STRUKTUR PETA JABATAN'!V42</f>
        <v>NIP. 196902251994031005</v>
      </c>
      <c r="J86" s="417"/>
      <c r="K86" s="417"/>
      <c r="L86" s="417"/>
      <c r="M86" s="417"/>
    </row>
    <row r="87" spans="1:13" ht="15.75" customHeight="1" x14ac:dyDescent="0.25"/>
    <row r="88" spans="1:13" ht="15.75" customHeight="1" x14ac:dyDescent="0.25"/>
    <row r="89" spans="1:13" ht="15.75" customHeight="1" x14ac:dyDescent="0.25"/>
    <row r="90" spans="1:13" ht="15.75" customHeight="1" x14ac:dyDescent="0.25"/>
    <row r="91" spans="1:13" ht="15.75" customHeight="1" x14ac:dyDescent="0.25"/>
    <row r="92" spans="1:13" ht="15.75" customHeight="1" x14ac:dyDescent="0.25"/>
    <row r="93" spans="1:13" ht="15.75" customHeight="1" x14ac:dyDescent="0.25"/>
    <row r="94" spans="1:13" ht="15.75" customHeight="1" x14ac:dyDescent="0.25"/>
    <row r="95" spans="1:13" ht="15.75" customHeight="1" x14ac:dyDescent="0.25"/>
    <row r="96" spans="1:13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19">
    <mergeCell ref="A1:N1"/>
    <mergeCell ref="A3:A5"/>
    <mergeCell ref="B3:B5"/>
    <mergeCell ref="C3:C5"/>
    <mergeCell ref="D3:D5"/>
    <mergeCell ref="E3:N3"/>
    <mergeCell ref="E4:I4"/>
    <mergeCell ref="J4:N4"/>
    <mergeCell ref="A8:N8"/>
    <mergeCell ref="A9:N9"/>
    <mergeCell ref="I85:M85"/>
    <mergeCell ref="I86:M86"/>
    <mergeCell ref="I79:M79"/>
    <mergeCell ref="I80:M80"/>
    <mergeCell ref="I81:M81"/>
    <mergeCell ref="I82:M82"/>
    <mergeCell ref="I83:M83"/>
    <mergeCell ref="I84:M84"/>
    <mergeCell ref="A79:B79"/>
  </mergeCells>
  <printOptions horizontalCentered="1"/>
  <pageMargins left="3.937007874015748E-2" right="3.937007874015748E-2" top="3.937007874015748E-2" bottom="3.937007874015748E-2" header="3.937007874015748E-2" footer="3.937007874015748E-2"/>
  <pageSetup paperSize="20000" scale="50" orientation="portrait" r:id="rId1"/>
  <rowBreaks count="1" manualBreakCount="1">
    <brk id="40" max="1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64B1A-78C2-4549-B93B-477039EED264}">
  <dimension ref="A1:V76"/>
  <sheetViews>
    <sheetView view="pageBreakPreview" zoomScale="55" zoomScaleNormal="85" zoomScaleSheetLayoutView="55" workbookViewId="0">
      <selection activeCell="F36" sqref="F36:F37"/>
    </sheetView>
  </sheetViews>
  <sheetFormatPr defaultRowHeight="15" x14ac:dyDescent="0.25"/>
  <cols>
    <col min="1" max="1" width="4.7109375" bestFit="1" customWidth="1"/>
    <col min="2" max="2" width="41.85546875" bestFit="1" customWidth="1"/>
    <col min="3" max="3" width="4.85546875" bestFit="1" customWidth="1"/>
    <col min="4" max="4" width="26" bestFit="1" customWidth="1"/>
    <col min="5" max="5" width="19" customWidth="1"/>
    <col min="6" max="6" width="14.140625" customWidth="1"/>
    <col min="7" max="7" width="13.42578125" bestFit="1" customWidth="1"/>
    <col min="8" max="8" width="8" bestFit="1" customWidth="1"/>
    <col min="9" max="9" width="13.42578125" bestFit="1" customWidth="1"/>
    <col min="10" max="11" width="9.42578125" bestFit="1" customWidth="1"/>
    <col min="12" max="12" width="12" bestFit="1" customWidth="1"/>
    <col min="13" max="13" width="9.42578125" bestFit="1" customWidth="1"/>
    <col min="14" max="14" width="12.5703125" bestFit="1" customWidth="1"/>
    <col min="15" max="15" width="12.28515625" customWidth="1"/>
    <col min="16" max="16" width="11.140625" bestFit="1" customWidth="1"/>
    <col min="17" max="17" width="24.5703125" bestFit="1" customWidth="1"/>
    <col min="18" max="18" width="9.42578125" bestFit="1" customWidth="1"/>
    <col min="19" max="19" width="16" customWidth="1"/>
    <col min="20" max="20" width="17.140625" customWidth="1"/>
    <col min="21" max="21" width="15.5703125" customWidth="1"/>
  </cols>
  <sheetData>
    <row r="1" spans="1:22" ht="18" x14ac:dyDescent="0.25">
      <c r="A1" s="527" t="s">
        <v>258</v>
      </c>
      <c r="B1" s="527"/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527"/>
      <c r="N1" s="527"/>
      <c r="O1" s="527"/>
      <c r="P1" s="527"/>
      <c r="Q1" s="527"/>
      <c r="R1" s="527"/>
      <c r="S1" s="527"/>
      <c r="T1" s="527"/>
      <c r="U1" s="528" t="s">
        <v>259</v>
      </c>
      <c r="V1" s="103"/>
    </row>
    <row r="2" spans="1:22" ht="18" x14ac:dyDescent="0.25">
      <c r="A2" s="531" t="s">
        <v>260</v>
      </c>
      <c r="B2" s="531"/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29"/>
      <c r="V2" s="103"/>
    </row>
    <row r="3" spans="1:22" ht="18" x14ac:dyDescent="0.25">
      <c r="A3" s="531" t="s">
        <v>261</v>
      </c>
      <c r="B3" s="531"/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1"/>
      <c r="N3" s="531"/>
      <c r="O3" s="531"/>
      <c r="P3" s="531"/>
      <c r="Q3" s="531"/>
      <c r="R3" s="531"/>
      <c r="S3" s="531"/>
      <c r="T3" s="531"/>
      <c r="U3" s="529"/>
      <c r="V3" s="103"/>
    </row>
    <row r="4" spans="1:22" ht="18" x14ac:dyDescent="0.25">
      <c r="A4" s="531" t="s">
        <v>262</v>
      </c>
      <c r="B4" s="531"/>
      <c r="C4" s="531"/>
      <c r="D4" s="531"/>
      <c r="E4" s="531"/>
      <c r="F4" s="531"/>
      <c r="G4" s="531"/>
      <c r="H4" s="531"/>
      <c r="I4" s="531"/>
      <c r="J4" s="531"/>
      <c r="K4" s="531"/>
      <c r="L4" s="531"/>
      <c r="M4" s="531"/>
      <c r="N4" s="531"/>
      <c r="O4" s="531"/>
      <c r="P4" s="531"/>
      <c r="Q4" s="531"/>
      <c r="R4" s="531"/>
      <c r="S4" s="531"/>
      <c r="T4" s="531"/>
      <c r="U4" s="529"/>
      <c r="V4" s="103"/>
    </row>
    <row r="5" spans="1:22" ht="18.75" thickBot="1" x14ac:dyDescent="0.3">
      <c r="A5" s="532" t="s">
        <v>263</v>
      </c>
      <c r="B5" s="532"/>
      <c r="C5" s="532"/>
      <c r="D5" s="532"/>
      <c r="E5" s="532"/>
      <c r="F5" s="532"/>
      <c r="G5" s="532"/>
      <c r="H5" s="532"/>
      <c r="I5" s="532"/>
      <c r="J5" s="532"/>
      <c r="K5" s="532"/>
      <c r="L5" s="532"/>
      <c r="M5" s="532"/>
      <c r="N5" s="532"/>
      <c r="O5" s="532"/>
      <c r="P5" s="532"/>
      <c r="Q5" s="532"/>
      <c r="R5" s="532"/>
      <c r="S5" s="532"/>
      <c r="T5" s="532"/>
      <c r="U5" s="530"/>
      <c r="V5" s="103"/>
    </row>
    <row r="6" spans="1:22" ht="16.5" thickBot="1" x14ac:dyDescent="0.25">
      <c r="A6" s="103"/>
      <c r="B6" s="103"/>
      <c r="C6" s="103"/>
      <c r="D6" s="104"/>
      <c r="E6" s="105"/>
      <c r="F6" s="105"/>
      <c r="G6" s="103"/>
      <c r="H6" s="103"/>
      <c r="I6" s="103"/>
      <c r="J6" s="103"/>
      <c r="K6" s="103"/>
      <c r="L6" s="103"/>
      <c r="M6" s="103"/>
      <c r="N6" s="103"/>
      <c r="O6" s="103"/>
      <c r="P6" s="104"/>
      <c r="Q6" s="103"/>
      <c r="R6" s="103"/>
      <c r="S6" s="103"/>
      <c r="T6" s="106"/>
      <c r="U6" s="107"/>
      <c r="V6" s="103"/>
    </row>
    <row r="7" spans="1:22" ht="15.75" x14ac:dyDescent="0.2">
      <c r="A7" s="543" t="s">
        <v>107</v>
      </c>
      <c r="B7" s="523" t="s">
        <v>264</v>
      </c>
      <c r="C7" s="523" t="s">
        <v>265</v>
      </c>
      <c r="D7" s="523" t="s">
        <v>266</v>
      </c>
      <c r="E7" s="523" t="s">
        <v>267</v>
      </c>
      <c r="F7" s="523"/>
      <c r="G7" s="523"/>
      <c r="H7" s="523" t="s">
        <v>12</v>
      </c>
      <c r="I7" s="523"/>
      <c r="J7" s="541" t="s">
        <v>268</v>
      </c>
      <c r="K7" s="542"/>
      <c r="L7" s="523" t="s">
        <v>269</v>
      </c>
      <c r="M7" s="523"/>
      <c r="N7" s="523"/>
      <c r="O7" s="523"/>
      <c r="P7" s="533" t="s">
        <v>270</v>
      </c>
      <c r="Q7" s="523" t="s">
        <v>271</v>
      </c>
      <c r="R7" s="523" t="s">
        <v>272</v>
      </c>
      <c r="S7" s="523" t="s">
        <v>273</v>
      </c>
      <c r="T7" s="533" t="s">
        <v>274</v>
      </c>
      <c r="U7" s="535" t="s">
        <v>275</v>
      </c>
      <c r="V7" s="103"/>
    </row>
    <row r="8" spans="1:22" ht="32.25" thickBot="1" x14ac:dyDescent="0.25">
      <c r="A8" s="544"/>
      <c r="B8" s="524"/>
      <c r="C8" s="524"/>
      <c r="D8" s="524"/>
      <c r="E8" s="111" t="s">
        <v>594</v>
      </c>
      <c r="F8" s="111" t="s">
        <v>12</v>
      </c>
      <c r="G8" s="111" t="s">
        <v>276</v>
      </c>
      <c r="H8" s="111" t="s">
        <v>264</v>
      </c>
      <c r="I8" s="111" t="s">
        <v>276</v>
      </c>
      <c r="J8" s="111" t="s">
        <v>272</v>
      </c>
      <c r="K8" s="111" t="s">
        <v>277</v>
      </c>
      <c r="L8" s="111" t="s">
        <v>264</v>
      </c>
      <c r="M8" s="111" t="s">
        <v>272</v>
      </c>
      <c r="N8" s="111" t="s">
        <v>277</v>
      </c>
      <c r="O8" s="112" t="s">
        <v>278</v>
      </c>
      <c r="P8" s="534"/>
      <c r="Q8" s="524"/>
      <c r="R8" s="524"/>
      <c r="S8" s="524"/>
      <c r="T8" s="534"/>
      <c r="U8" s="536"/>
      <c r="V8" s="103"/>
    </row>
    <row r="9" spans="1:22" ht="16.5" thickTop="1" thickBot="1" x14ac:dyDescent="0.25">
      <c r="A9" s="113">
        <v>1</v>
      </c>
      <c r="B9" s="114">
        <v>2</v>
      </c>
      <c r="C9" s="115">
        <v>3</v>
      </c>
      <c r="D9" s="115">
        <v>4</v>
      </c>
      <c r="E9" s="115">
        <v>5</v>
      </c>
      <c r="F9" s="115"/>
      <c r="G9" s="115">
        <v>6</v>
      </c>
      <c r="H9" s="115">
        <v>7</v>
      </c>
      <c r="I9" s="115">
        <v>8</v>
      </c>
      <c r="J9" s="115">
        <v>9</v>
      </c>
      <c r="K9" s="115">
        <v>10</v>
      </c>
      <c r="L9" s="115">
        <v>13</v>
      </c>
      <c r="M9" s="115">
        <v>14</v>
      </c>
      <c r="N9" s="115">
        <v>15</v>
      </c>
      <c r="O9" s="115">
        <v>16</v>
      </c>
      <c r="P9" s="128">
        <v>17</v>
      </c>
      <c r="Q9" s="128">
        <v>18</v>
      </c>
      <c r="R9" s="128">
        <v>19</v>
      </c>
      <c r="S9" s="115">
        <v>20</v>
      </c>
      <c r="T9" s="115">
        <v>21</v>
      </c>
      <c r="U9" s="116">
        <v>23</v>
      </c>
      <c r="V9" s="103"/>
    </row>
    <row r="10" spans="1:22" ht="30" customHeight="1" thickTop="1" x14ac:dyDescent="0.2">
      <c r="A10" s="537">
        <v>1</v>
      </c>
      <c r="B10" s="538" t="s">
        <v>138</v>
      </c>
      <c r="C10" s="479" t="s">
        <v>279</v>
      </c>
      <c r="D10" s="118" t="s">
        <v>280</v>
      </c>
      <c r="E10" s="498" t="s">
        <v>63</v>
      </c>
      <c r="F10" s="526" t="s">
        <v>201</v>
      </c>
      <c r="G10" s="539">
        <v>43553</v>
      </c>
      <c r="H10" s="117" t="s">
        <v>281</v>
      </c>
      <c r="I10" s="119">
        <v>34394</v>
      </c>
      <c r="J10" s="117">
        <v>31</v>
      </c>
      <c r="K10" s="117">
        <v>5</v>
      </c>
      <c r="L10" s="120" t="s">
        <v>282</v>
      </c>
      <c r="M10" s="117">
        <v>1995</v>
      </c>
      <c r="N10" s="117" t="s">
        <v>283</v>
      </c>
      <c r="O10" s="479">
        <v>300</v>
      </c>
      <c r="P10" s="122" t="s">
        <v>284</v>
      </c>
      <c r="Q10" s="122" t="s">
        <v>285</v>
      </c>
      <c r="R10" s="122">
        <v>1992</v>
      </c>
      <c r="S10" s="500">
        <v>25259</v>
      </c>
      <c r="T10" s="538" t="s">
        <v>286</v>
      </c>
      <c r="U10" s="525">
        <v>43739</v>
      </c>
      <c r="V10" s="103"/>
    </row>
    <row r="11" spans="1:22" ht="30" customHeight="1" x14ac:dyDescent="0.2">
      <c r="A11" s="468"/>
      <c r="B11" s="507"/>
      <c r="C11" s="450"/>
      <c r="D11" s="121" t="s">
        <v>287</v>
      </c>
      <c r="E11" s="448"/>
      <c r="F11" s="448"/>
      <c r="G11" s="504"/>
      <c r="H11" s="121" t="s">
        <v>288</v>
      </c>
      <c r="I11" s="195">
        <v>43739</v>
      </c>
      <c r="J11" s="123">
        <v>5</v>
      </c>
      <c r="K11" s="123">
        <v>10</v>
      </c>
      <c r="L11" s="196" t="s">
        <v>289</v>
      </c>
      <c r="M11" s="121">
        <v>2015</v>
      </c>
      <c r="N11" s="121" t="s">
        <v>290</v>
      </c>
      <c r="O11" s="450"/>
      <c r="P11" s="121" t="s">
        <v>291</v>
      </c>
      <c r="Q11" s="121" t="s">
        <v>292</v>
      </c>
      <c r="R11" s="121">
        <v>2013</v>
      </c>
      <c r="S11" s="540"/>
      <c r="T11" s="507"/>
      <c r="U11" s="509"/>
      <c r="V11" s="103"/>
    </row>
    <row r="12" spans="1:22" ht="30" customHeight="1" x14ac:dyDescent="0.2">
      <c r="A12" s="459">
        <v>2</v>
      </c>
      <c r="B12" s="469" t="s">
        <v>64</v>
      </c>
      <c r="C12" s="449" t="s">
        <v>279</v>
      </c>
      <c r="D12" s="123" t="s">
        <v>65</v>
      </c>
      <c r="E12" s="498" t="s">
        <v>63</v>
      </c>
      <c r="F12" s="447" t="s">
        <v>201</v>
      </c>
      <c r="G12" s="503">
        <v>45444</v>
      </c>
      <c r="H12" s="449" t="s">
        <v>281</v>
      </c>
      <c r="I12" s="451">
        <v>32568</v>
      </c>
      <c r="J12" s="449">
        <v>36</v>
      </c>
      <c r="K12" s="466">
        <v>5</v>
      </c>
      <c r="L12" s="449" t="s">
        <v>282</v>
      </c>
      <c r="M12" s="449">
        <v>1990</v>
      </c>
      <c r="N12" s="449" t="s">
        <v>283</v>
      </c>
      <c r="O12" s="449">
        <v>301</v>
      </c>
      <c r="P12" s="449" t="s">
        <v>296</v>
      </c>
      <c r="Q12" s="449" t="s">
        <v>293</v>
      </c>
      <c r="R12" s="449">
        <v>2009</v>
      </c>
      <c r="S12" s="451">
        <v>24377</v>
      </c>
      <c r="T12" s="469"/>
      <c r="U12" s="514"/>
      <c r="V12" s="103"/>
    </row>
    <row r="13" spans="1:22" ht="30" customHeight="1" x14ac:dyDescent="0.2">
      <c r="A13" s="468"/>
      <c r="B13" s="470"/>
      <c r="C13" s="450"/>
      <c r="D13" s="121" t="s">
        <v>294</v>
      </c>
      <c r="E13" s="448"/>
      <c r="F13" s="448"/>
      <c r="G13" s="504"/>
      <c r="H13" s="450"/>
      <c r="I13" s="452"/>
      <c r="J13" s="450"/>
      <c r="K13" s="467"/>
      <c r="L13" s="450"/>
      <c r="M13" s="450"/>
      <c r="N13" s="450"/>
      <c r="O13" s="450"/>
      <c r="P13" s="450"/>
      <c r="Q13" s="450"/>
      <c r="R13" s="450"/>
      <c r="S13" s="452"/>
      <c r="T13" s="470"/>
      <c r="U13" s="509"/>
      <c r="V13" s="103"/>
    </row>
    <row r="14" spans="1:22" ht="30" customHeight="1" x14ac:dyDescent="0.2">
      <c r="A14" s="459">
        <v>3</v>
      </c>
      <c r="B14" s="469" t="s">
        <v>92</v>
      </c>
      <c r="C14" s="449" t="s">
        <v>295</v>
      </c>
      <c r="D14" s="123" t="s">
        <v>93</v>
      </c>
      <c r="E14" s="498" t="s">
        <v>63</v>
      </c>
      <c r="F14" s="447" t="s">
        <v>201</v>
      </c>
      <c r="G14" s="503">
        <v>45627</v>
      </c>
      <c r="H14" s="449" t="s">
        <v>281</v>
      </c>
      <c r="I14" s="451">
        <v>34669</v>
      </c>
      <c r="J14" s="449">
        <v>31</v>
      </c>
      <c r="K14" s="466">
        <v>7</v>
      </c>
      <c r="L14" s="449" t="s">
        <v>282</v>
      </c>
      <c r="M14" s="449">
        <v>1995</v>
      </c>
      <c r="N14" s="449" t="s">
        <v>283</v>
      </c>
      <c r="O14" s="449">
        <v>300</v>
      </c>
      <c r="P14" s="121" t="s">
        <v>296</v>
      </c>
      <c r="Q14" s="125" t="s">
        <v>297</v>
      </c>
      <c r="R14" s="121">
        <v>1993</v>
      </c>
      <c r="S14" s="451">
        <v>25007</v>
      </c>
      <c r="T14" s="506" t="s">
        <v>298</v>
      </c>
      <c r="U14" s="515">
        <v>38534</v>
      </c>
      <c r="V14" s="103"/>
    </row>
    <row r="15" spans="1:22" ht="30" customHeight="1" x14ac:dyDescent="0.2">
      <c r="A15" s="468"/>
      <c r="B15" s="470"/>
      <c r="C15" s="450"/>
      <c r="D15" s="121" t="s">
        <v>595</v>
      </c>
      <c r="E15" s="448"/>
      <c r="F15" s="448"/>
      <c r="G15" s="504"/>
      <c r="H15" s="450"/>
      <c r="I15" s="452"/>
      <c r="J15" s="450"/>
      <c r="K15" s="467"/>
      <c r="L15" s="450"/>
      <c r="M15" s="450"/>
      <c r="N15" s="450"/>
      <c r="O15" s="450"/>
      <c r="P15" s="121" t="s">
        <v>291</v>
      </c>
      <c r="Q15" s="125" t="s">
        <v>299</v>
      </c>
      <c r="R15" s="121">
        <v>2017</v>
      </c>
      <c r="S15" s="452"/>
      <c r="T15" s="507"/>
      <c r="U15" s="516"/>
      <c r="V15" s="103"/>
    </row>
    <row r="16" spans="1:22" ht="30" customHeight="1" x14ac:dyDescent="0.2">
      <c r="A16" s="459">
        <v>4</v>
      </c>
      <c r="B16" s="517" t="s">
        <v>76</v>
      </c>
      <c r="C16" s="518" t="s">
        <v>295</v>
      </c>
      <c r="D16" s="126" t="s">
        <v>77</v>
      </c>
      <c r="E16" s="519" t="s">
        <v>60</v>
      </c>
      <c r="F16" s="447" t="s">
        <v>201</v>
      </c>
      <c r="G16" s="520">
        <v>45383</v>
      </c>
      <c r="H16" s="449" t="s">
        <v>281</v>
      </c>
      <c r="I16" s="520">
        <v>36220</v>
      </c>
      <c r="J16" s="453">
        <v>26</v>
      </c>
      <c r="K16" s="453">
        <v>4</v>
      </c>
      <c r="L16" s="449" t="s">
        <v>282</v>
      </c>
      <c r="M16" s="453">
        <v>2000</v>
      </c>
      <c r="N16" s="453" t="s">
        <v>283</v>
      </c>
      <c r="O16" s="453">
        <v>182</v>
      </c>
      <c r="P16" s="453" t="s">
        <v>296</v>
      </c>
      <c r="Q16" s="453" t="s">
        <v>300</v>
      </c>
      <c r="R16" s="453">
        <v>1998</v>
      </c>
      <c r="S16" s="520">
        <v>28068</v>
      </c>
      <c r="T16" s="461" t="s">
        <v>301</v>
      </c>
      <c r="U16" s="521">
        <v>45352</v>
      </c>
      <c r="V16" s="103"/>
    </row>
    <row r="17" spans="1:22" ht="30" customHeight="1" x14ac:dyDescent="0.2">
      <c r="A17" s="468"/>
      <c r="B17" s="517"/>
      <c r="C17" s="518"/>
      <c r="D17" s="121" t="s">
        <v>302</v>
      </c>
      <c r="E17" s="519"/>
      <c r="F17" s="448"/>
      <c r="G17" s="453"/>
      <c r="H17" s="450"/>
      <c r="I17" s="453"/>
      <c r="J17" s="453"/>
      <c r="K17" s="453"/>
      <c r="L17" s="450"/>
      <c r="M17" s="453"/>
      <c r="N17" s="453"/>
      <c r="O17" s="453"/>
      <c r="P17" s="453"/>
      <c r="Q17" s="453"/>
      <c r="R17" s="453"/>
      <c r="S17" s="453"/>
      <c r="T17" s="461"/>
      <c r="U17" s="522"/>
      <c r="V17" s="103"/>
    </row>
    <row r="18" spans="1:22" ht="30" customHeight="1" x14ac:dyDescent="0.2">
      <c r="A18" s="459">
        <v>5</v>
      </c>
      <c r="B18" s="469" t="s">
        <v>47</v>
      </c>
      <c r="C18" s="449" t="s">
        <v>295</v>
      </c>
      <c r="D18" s="123" t="s">
        <v>48</v>
      </c>
      <c r="E18" s="449" t="s">
        <v>49</v>
      </c>
      <c r="F18" s="447" t="s">
        <v>201</v>
      </c>
      <c r="G18" s="503">
        <v>44927</v>
      </c>
      <c r="H18" s="449" t="s">
        <v>281</v>
      </c>
      <c r="I18" s="451">
        <v>39448</v>
      </c>
      <c r="J18" s="449">
        <v>17</v>
      </c>
      <c r="K18" s="466">
        <v>7</v>
      </c>
      <c r="L18" s="449" t="s">
        <v>282</v>
      </c>
      <c r="M18" s="449">
        <v>2009</v>
      </c>
      <c r="N18" s="449" t="s">
        <v>303</v>
      </c>
      <c r="O18" s="449">
        <v>216</v>
      </c>
      <c r="P18" s="449" t="s">
        <v>296</v>
      </c>
      <c r="Q18" s="449" t="s">
        <v>292</v>
      </c>
      <c r="R18" s="449">
        <v>2001</v>
      </c>
      <c r="S18" s="451">
        <v>28154</v>
      </c>
      <c r="T18" s="469"/>
      <c r="U18" s="514"/>
      <c r="V18" s="103"/>
    </row>
    <row r="19" spans="1:22" ht="30" customHeight="1" x14ac:dyDescent="0.2">
      <c r="A19" s="468"/>
      <c r="B19" s="470"/>
      <c r="C19" s="450"/>
      <c r="D19" s="127" t="s">
        <v>304</v>
      </c>
      <c r="E19" s="450"/>
      <c r="F19" s="448"/>
      <c r="G19" s="504"/>
      <c r="H19" s="450"/>
      <c r="I19" s="452"/>
      <c r="J19" s="450"/>
      <c r="K19" s="467"/>
      <c r="L19" s="450"/>
      <c r="M19" s="450"/>
      <c r="N19" s="450"/>
      <c r="O19" s="450"/>
      <c r="P19" s="450"/>
      <c r="Q19" s="450"/>
      <c r="R19" s="450"/>
      <c r="S19" s="452"/>
      <c r="T19" s="470"/>
      <c r="U19" s="509"/>
      <c r="V19" s="103"/>
    </row>
    <row r="20" spans="1:22" ht="30" customHeight="1" x14ac:dyDescent="0.2">
      <c r="A20" s="459">
        <v>6</v>
      </c>
      <c r="B20" s="469" t="s">
        <v>38</v>
      </c>
      <c r="C20" s="449" t="s">
        <v>279</v>
      </c>
      <c r="D20" s="123" t="s">
        <v>39</v>
      </c>
      <c r="E20" s="449" t="s">
        <v>49</v>
      </c>
      <c r="F20" s="447" t="s">
        <v>201</v>
      </c>
      <c r="G20" s="503">
        <v>45870</v>
      </c>
      <c r="H20" s="449" t="s">
        <v>281</v>
      </c>
      <c r="I20" s="451">
        <v>39508</v>
      </c>
      <c r="J20" s="449">
        <v>17</v>
      </c>
      <c r="K20" s="466">
        <v>4</v>
      </c>
      <c r="L20" s="449" t="s">
        <v>282</v>
      </c>
      <c r="M20" s="449">
        <v>2007</v>
      </c>
      <c r="N20" s="449" t="s">
        <v>303</v>
      </c>
      <c r="O20" s="449">
        <v>135</v>
      </c>
      <c r="P20" s="449" t="s">
        <v>296</v>
      </c>
      <c r="Q20" s="449" t="s">
        <v>305</v>
      </c>
      <c r="R20" s="449">
        <v>1997</v>
      </c>
      <c r="S20" s="451">
        <v>25071</v>
      </c>
      <c r="T20" s="469"/>
      <c r="U20" s="514"/>
      <c r="V20" s="103"/>
    </row>
    <row r="21" spans="1:22" ht="30" customHeight="1" x14ac:dyDescent="0.2">
      <c r="A21" s="468"/>
      <c r="B21" s="470"/>
      <c r="C21" s="450"/>
      <c r="D21" s="121" t="s">
        <v>306</v>
      </c>
      <c r="E21" s="450"/>
      <c r="F21" s="448"/>
      <c r="G21" s="504"/>
      <c r="H21" s="450"/>
      <c r="I21" s="452"/>
      <c r="J21" s="450"/>
      <c r="K21" s="467"/>
      <c r="L21" s="450"/>
      <c r="M21" s="450"/>
      <c r="N21" s="450"/>
      <c r="O21" s="450"/>
      <c r="P21" s="450"/>
      <c r="Q21" s="450"/>
      <c r="R21" s="450"/>
      <c r="S21" s="452"/>
      <c r="T21" s="470"/>
      <c r="U21" s="509"/>
      <c r="V21" s="103"/>
    </row>
    <row r="22" spans="1:22" ht="30" customHeight="1" x14ac:dyDescent="0.2">
      <c r="A22" s="459">
        <v>7</v>
      </c>
      <c r="B22" s="469" t="s">
        <v>57</v>
      </c>
      <c r="C22" s="449" t="s">
        <v>295</v>
      </c>
      <c r="D22" s="123" t="s">
        <v>58</v>
      </c>
      <c r="E22" s="449" t="s">
        <v>49</v>
      </c>
      <c r="F22" s="447" t="s">
        <v>201</v>
      </c>
      <c r="G22" s="503">
        <v>45870</v>
      </c>
      <c r="H22" s="449" t="s">
        <v>281</v>
      </c>
      <c r="I22" s="451">
        <v>39417</v>
      </c>
      <c r="J22" s="449">
        <v>17</v>
      </c>
      <c r="K22" s="466">
        <v>5</v>
      </c>
      <c r="L22" s="449" t="s">
        <v>282</v>
      </c>
      <c r="M22" s="449">
        <v>2006</v>
      </c>
      <c r="N22" s="449" t="s">
        <v>283</v>
      </c>
      <c r="O22" s="449">
        <v>148</v>
      </c>
      <c r="P22" s="121" t="s">
        <v>296</v>
      </c>
      <c r="Q22" s="121" t="s">
        <v>307</v>
      </c>
      <c r="R22" s="449">
        <v>2005</v>
      </c>
      <c r="S22" s="451">
        <v>29635</v>
      </c>
      <c r="T22" s="469"/>
      <c r="U22" s="514"/>
      <c r="V22" s="103"/>
    </row>
    <row r="23" spans="1:22" ht="30" customHeight="1" x14ac:dyDescent="0.2">
      <c r="A23" s="468"/>
      <c r="B23" s="470"/>
      <c r="C23" s="450"/>
      <c r="D23" s="121" t="s">
        <v>308</v>
      </c>
      <c r="E23" s="450"/>
      <c r="F23" s="448"/>
      <c r="G23" s="504"/>
      <c r="H23" s="450"/>
      <c r="I23" s="452"/>
      <c r="J23" s="450"/>
      <c r="K23" s="467"/>
      <c r="L23" s="450"/>
      <c r="M23" s="450"/>
      <c r="N23" s="450"/>
      <c r="O23" s="450"/>
      <c r="P23" s="121" t="s">
        <v>291</v>
      </c>
      <c r="Q23" s="125" t="s">
        <v>299</v>
      </c>
      <c r="R23" s="450"/>
      <c r="S23" s="452"/>
      <c r="T23" s="470"/>
      <c r="U23" s="509"/>
      <c r="V23" s="103"/>
    </row>
    <row r="24" spans="1:22" ht="30" customHeight="1" x14ac:dyDescent="0.2">
      <c r="A24" s="459">
        <v>8</v>
      </c>
      <c r="B24" s="469" t="s">
        <v>83</v>
      </c>
      <c r="C24" s="449" t="s">
        <v>279</v>
      </c>
      <c r="D24" s="123" t="s">
        <v>84</v>
      </c>
      <c r="E24" s="447" t="s">
        <v>40</v>
      </c>
      <c r="F24" s="447" t="s">
        <v>202</v>
      </c>
      <c r="G24" s="503">
        <v>44565</v>
      </c>
      <c r="H24" s="449" t="s">
        <v>281</v>
      </c>
      <c r="I24" s="451">
        <v>40452</v>
      </c>
      <c r="J24" s="512">
        <v>24</v>
      </c>
      <c r="K24" s="510">
        <v>10</v>
      </c>
      <c r="L24" s="449" t="s">
        <v>282</v>
      </c>
      <c r="M24" s="449">
        <v>2010</v>
      </c>
      <c r="N24" s="449" t="s">
        <v>283</v>
      </c>
      <c r="O24" s="449">
        <v>135</v>
      </c>
      <c r="P24" s="449" t="s">
        <v>296</v>
      </c>
      <c r="Q24" s="449" t="s">
        <v>285</v>
      </c>
      <c r="R24" s="449">
        <v>2000</v>
      </c>
      <c r="S24" s="451">
        <v>27687</v>
      </c>
      <c r="T24" s="469"/>
      <c r="U24" s="514"/>
      <c r="V24" s="103"/>
    </row>
    <row r="25" spans="1:22" ht="30" customHeight="1" x14ac:dyDescent="0.2">
      <c r="A25" s="468"/>
      <c r="B25" s="470"/>
      <c r="C25" s="450"/>
      <c r="D25" s="121" t="s">
        <v>309</v>
      </c>
      <c r="E25" s="448"/>
      <c r="F25" s="448"/>
      <c r="G25" s="504"/>
      <c r="H25" s="450"/>
      <c r="I25" s="452"/>
      <c r="J25" s="513"/>
      <c r="K25" s="511"/>
      <c r="L25" s="450"/>
      <c r="M25" s="450"/>
      <c r="N25" s="450"/>
      <c r="O25" s="450"/>
      <c r="P25" s="450"/>
      <c r="Q25" s="450"/>
      <c r="R25" s="450"/>
      <c r="S25" s="452"/>
      <c r="T25" s="470"/>
      <c r="U25" s="509"/>
      <c r="V25" s="103"/>
    </row>
    <row r="26" spans="1:22" ht="30" customHeight="1" x14ac:dyDescent="0.2">
      <c r="A26" s="459">
        <v>9</v>
      </c>
      <c r="B26" s="469" t="s">
        <v>70</v>
      </c>
      <c r="C26" s="449" t="s">
        <v>295</v>
      </c>
      <c r="D26" s="123" t="s">
        <v>71</v>
      </c>
      <c r="E26" s="447" t="s">
        <v>40</v>
      </c>
      <c r="F26" s="447" t="s">
        <v>202</v>
      </c>
      <c r="G26" s="503">
        <v>44206</v>
      </c>
      <c r="H26" s="449" t="s">
        <v>281</v>
      </c>
      <c r="I26" s="451">
        <v>40452</v>
      </c>
      <c r="J26" s="512">
        <v>24</v>
      </c>
      <c r="K26" s="510">
        <v>10</v>
      </c>
      <c r="L26" s="449" t="s">
        <v>282</v>
      </c>
      <c r="M26" s="449">
        <v>2010</v>
      </c>
      <c r="N26" s="449" t="s">
        <v>283</v>
      </c>
      <c r="O26" s="449">
        <v>135</v>
      </c>
      <c r="P26" s="449" t="s">
        <v>296</v>
      </c>
      <c r="Q26" s="449" t="s">
        <v>310</v>
      </c>
      <c r="R26" s="449">
        <v>2004</v>
      </c>
      <c r="S26" s="451">
        <v>29447</v>
      </c>
      <c r="T26" s="469"/>
      <c r="U26" s="514"/>
      <c r="V26" s="103"/>
    </row>
    <row r="27" spans="1:22" ht="30" customHeight="1" x14ac:dyDescent="0.2">
      <c r="A27" s="468"/>
      <c r="B27" s="470"/>
      <c r="C27" s="450"/>
      <c r="D27" s="121" t="s">
        <v>311</v>
      </c>
      <c r="E27" s="448"/>
      <c r="F27" s="448"/>
      <c r="G27" s="504"/>
      <c r="H27" s="450"/>
      <c r="I27" s="452"/>
      <c r="J27" s="513"/>
      <c r="K27" s="511"/>
      <c r="L27" s="450"/>
      <c r="M27" s="450"/>
      <c r="N27" s="450"/>
      <c r="O27" s="450"/>
      <c r="P27" s="450"/>
      <c r="Q27" s="450"/>
      <c r="R27" s="450"/>
      <c r="S27" s="452"/>
      <c r="T27" s="470"/>
      <c r="U27" s="509"/>
      <c r="V27" s="103"/>
    </row>
    <row r="28" spans="1:22" ht="30" customHeight="1" x14ac:dyDescent="0.2">
      <c r="A28" s="459">
        <v>10</v>
      </c>
      <c r="B28" s="469" t="s">
        <v>53</v>
      </c>
      <c r="C28" s="449" t="s">
        <v>295</v>
      </c>
      <c r="D28" s="123" t="s">
        <v>312</v>
      </c>
      <c r="E28" s="447" t="s">
        <v>40</v>
      </c>
      <c r="F28" s="447" t="s">
        <v>202</v>
      </c>
      <c r="G28" s="503">
        <v>44206</v>
      </c>
      <c r="H28" s="449" t="s">
        <v>281</v>
      </c>
      <c r="I28" s="451">
        <v>40909</v>
      </c>
      <c r="J28" s="512">
        <v>13</v>
      </c>
      <c r="K28" s="510">
        <v>6</v>
      </c>
      <c r="L28" s="449" t="s">
        <v>282</v>
      </c>
      <c r="M28" s="449">
        <v>2011</v>
      </c>
      <c r="N28" s="449" t="s">
        <v>283</v>
      </c>
      <c r="O28" s="449">
        <v>136</v>
      </c>
      <c r="P28" s="121" t="s">
        <v>296</v>
      </c>
      <c r="Q28" s="121" t="s">
        <v>292</v>
      </c>
      <c r="R28" s="449">
        <v>2011</v>
      </c>
      <c r="S28" s="451">
        <v>32000</v>
      </c>
      <c r="T28" s="506" t="s">
        <v>313</v>
      </c>
      <c r="U28" s="508">
        <v>44743</v>
      </c>
      <c r="V28" s="103"/>
    </row>
    <row r="29" spans="1:22" ht="30" customHeight="1" x14ac:dyDescent="0.2">
      <c r="A29" s="468"/>
      <c r="B29" s="470"/>
      <c r="C29" s="450"/>
      <c r="D29" s="121" t="s">
        <v>314</v>
      </c>
      <c r="E29" s="448"/>
      <c r="F29" s="448"/>
      <c r="G29" s="504"/>
      <c r="H29" s="450"/>
      <c r="I29" s="452"/>
      <c r="J29" s="513"/>
      <c r="K29" s="511"/>
      <c r="L29" s="450"/>
      <c r="M29" s="450"/>
      <c r="N29" s="450"/>
      <c r="O29" s="450"/>
      <c r="P29" s="121" t="s">
        <v>291</v>
      </c>
      <c r="Q29" s="121" t="s">
        <v>292</v>
      </c>
      <c r="R29" s="450"/>
      <c r="S29" s="452"/>
      <c r="T29" s="507"/>
      <c r="U29" s="509"/>
      <c r="V29" s="103"/>
    </row>
    <row r="30" spans="1:22" ht="30" customHeight="1" x14ac:dyDescent="0.2">
      <c r="A30" s="459">
        <v>11</v>
      </c>
      <c r="B30" s="469" t="s">
        <v>28</v>
      </c>
      <c r="C30" s="449" t="s">
        <v>295</v>
      </c>
      <c r="D30" s="123" t="s">
        <v>29</v>
      </c>
      <c r="E30" s="449" t="s">
        <v>52</v>
      </c>
      <c r="F30" s="447" t="s">
        <v>202</v>
      </c>
      <c r="G30" s="503">
        <v>45870</v>
      </c>
      <c r="H30" s="449" t="s">
        <v>281</v>
      </c>
      <c r="I30" s="451">
        <v>42522</v>
      </c>
      <c r="J30" s="449">
        <v>9</v>
      </c>
      <c r="K30" s="466">
        <v>2</v>
      </c>
      <c r="L30" s="449" t="s">
        <v>282</v>
      </c>
      <c r="M30" s="449">
        <v>2015</v>
      </c>
      <c r="N30" s="447" t="s">
        <v>290</v>
      </c>
      <c r="O30" s="449"/>
      <c r="P30" s="449" t="s">
        <v>296</v>
      </c>
      <c r="Q30" s="449" t="s">
        <v>315</v>
      </c>
      <c r="R30" s="449">
        <v>1999</v>
      </c>
      <c r="S30" s="451">
        <v>28276</v>
      </c>
      <c r="T30" s="469"/>
      <c r="U30" s="443"/>
      <c r="V30" s="103"/>
    </row>
    <row r="31" spans="1:22" ht="30" customHeight="1" x14ac:dyDescent="0.2">
      <c r="A31" s="468"/>
      <c r="B31" s="470"/>
      <c r="C31" s="450"/>
      <c r="D31" s="121" t="s">
        <v>316</v>
      </c>
      <c r="E31" s="450"/>
      <c r="F31" s="448"/>
      <c r="G31" s="504"/>
      <c r="H31" s="450"/>
      <c r="I31" s="452"/>
      <c r="J31" s="450"/>
      <c r="K31" s="467"/>
      <c r="L31" s="450"/>
      <c r="M31" s="450"/>
      <c r="N31" s="448"/>
      <c r="O31" s="450"/>
      <c r="P31" s="450"/>
      <c r="Q31" s="450"/>
      <c r="R31" s="450"/>
      <c r="S31" s="452"/>
      <c r="T31" s="470"/>
      <c r="U31" s="444"/>
      <c r="V31" s="103"/>
    </row>
    <row r="32" spans="1:22" ht="30" customHeight="1" x14ac:dyDescent="0.2">
      <c r="A32" s="459">
        <v>12</v>
      </c>
      <c r="B32" s="469" t="s">
        <v>79</v>
      </c>
      <c r="C32" s="449" t="s">
        <v>295</v>
      </c>
      <c r="D32" s="123" t="s">
        <v>80</v>
      </c>
      <c r="E32" s="447" t="s">
        <v>30</v>
      </c>
      <c r="F32" s="447" t="s">
        <v>203</v>
      </c>
      <c r="G32" s="503">
        <v>44958</v>
      </c>
      <c r="H32" s="479" t="s">
        <v>281</v>
      </c>
      <c r="I32" s="451">
        <v>42522</v>
      </c>
      <c r="J32" s="449">
        <v>9</v>
      </c>
      <c r="K32" s="466">
        <v>2</v>
      </c>
      <c r="L32" s="449" t="s">
        <v>282</v>
      </c>
      <c r="M32" s="449">
        <v>2015</v>
      </c>
      <c r="N32" s="447" t="s">
        <v>290</v>
      </c>
      <c r="O32" s="449"/>
      <c r="P32" s="449" t="s">
        <v>296</v>
      </c>
      <c r="Q32" s="449" t="s">
        <v>317</v>
      </c>
      <c r="R32" s="449">
        <v>2003</v>
      </c>
      <c r="S32" s="451">
        <v>25550</v>
      </c>
      <c r="T32" s="506" t="s">
        <v>318</v>
      </c>
      <c r="U32" s="505">
        <v>43647</v>
      </c>
      <c r="V32" s="103"/>
    </row>
    <row r="33" spans="1:22" ht="30" customHeight="1" x14ac:dyDescent="0.2">
      <c r="A33" s="468"/>
      <c r="B33" s="470"/>
      <c r="C33" s="450"/>
      <c r="D33" s="121" t="s">
        <v>319</v>
      </c>
      <c r="E33" s="448"/>
      <c r="F33" s="448"/>
      <c r="G33" s="504"/>
      <c r="H33" s="450"/>
      <c r="I33" s="452"/>
      <c r="J33" s="450"/>
      <c r="K33" s="467"/>
      <c r="L33" s="450"/>
      <c r="M33" s="450"/>
      <c r="N33" s="448"/>
      <c r="O33" s="450"/>
      <c r="P33" s="450"/>
      <c r="Q33" s="450"/>
      <c r="R33" s="450"/>
      <c r="S33" s="452"/>
      <c r="T33" s="507"/>
      <c r="U33" s="444"/>
      <c r="V33" s="103"/>
    </row>
    <row r="34" spans="1:22" ht="30" customHeight="1" x14ac:dyDescent="0.2">
      <c r="A34" s="459">
        <v>13</v>
      </c>
      <c r="B34" s="469" t="s">
        <v>61</v>
      </c>
      <c r="C34" s="449" t="s">
        <v>295</v>
      </c>
      <c r="D34" s="123" t="s">
        <v>62</v>
      </c>
      <c r="E34" s="447" t="s">
        <v>30</v>
      </c>
      <c r="F34" s="447" t="s">
        <v>203</v>
      </c>
      <c r="G34" s="503">
        <v>45566</v>
      </c>
      <c r="H34" s="449" t="s">
        <v>281</v>
      </c>
      <c r="I34" s="451">
        <v>42522</v>
      </c>
      <c r="J34" s="449">
        <v>9</v>
      </c>
      <c r="K34" s="466">
        <v>2</v>
      </c>
      <c r="L34" s="449" t="s">
        <v>282</v>
      </c>
      <c r="M34" s="449">
        <v>2015</v>
      </c>
      <c r="N34" s="447" t="s">
        <v>290</v>
      </c>
      <c r="O34" s="449"/>
      <c r="P34" s="449" t="s">
        <v>296</v>
      </c>
      <c r="Q34" s="449" t="s">
        <v>307</v>
      </c>
      <c r="R34" s="449">
        <v>2003</v>
      </c>
      <c r="S34" s="451">
        <v>28455</v>
      </c>
      <c r="T34" s="469"/>
      <c r="U34" s="443"/>
      <c r="V34" s="103"/>
    </row>
    <row r="35" spans="1:22" ht="30" customHeight="1" x14ac:dyDescent="0.2">
      <c r="A35" s="468"/>
      <c r="B35" s="470"/>
      <c r="C35" s="450"/>
      <c r="D35" s="121" t="s">
        <v>320</v>
      </c>
      <c r="E35" s="448"/>
      <c r="F35" s="448"/>
      <c r="G35" s="504"/>
      <c r="H35" s="450"/>
      <c r="I35" s="452"/>
      <c r="J35" s="450"/>
      <c r="K35" s="467"/>
      <c r="L35" s="450"/>
      <c r="M35" s="450"/>
      <c r="N35" s="448"/>
      <c r="O35" s="450"/>
      <c r="P35" s="450"/>
      <c r="Q35" s="450"/>
      <c r="R35" s="450"/>
      <c r="S35" s="452"/>
      <c r="T35" s="470"/>
      <c r="U35" s="444"/>
      <c r="V35" s="103"/>
    </row>
    <row r="36" spans="1:22" ht="30" customHeight="1" x14ac:dyDescent="0.2">
      <c r="A36" s="459">
        <v>14</v>
      </c>
      <c r="B36" s="469" t="s">
        <v>73</v>
      </c>
      <c r="C36" s="449" t="s">
        <v>295</v>
      </c>
      <c r="D36" s="123" t="s">
        <v>74</v>
      </c>
      <c r="E36" s="447" t="s">
        <v>43</v>
      </c>
      <c r="F36" s="447" t="s">
        <v>203</v>
      </c>
      <c r="G36" s="503">
        <v>43842</v>
      </c>
      <c r="H36" s="449" t="s">
        <v>281</v>
      </c>
      <c r="I36" s="451">
        <v>43842</v>
      </c>
      <c r="J36" s="449">
        <v>5</v>
      </c>
      <c r="K36" s="449">
        <v>6</v>
      </c>
      <c r="L36" s="449" t="s">
        <v>282</v>
      </c>
      <c r="M36" s="449">
        <v>2001</v>
      </c>
      <c r="N36" s="449"/>
      <c r="O36" s="449"/>
      <c r="P36" s="449" t="s">
        <v>296</v>
      </c>
      <c r="Q36" s="447" t="s">
        <v>321</v>
      </c>
      <c r="R36" s="449">
        <v>2019</v>
      </c>
      <c r="S36" s="451">
        <v>35590</v>
      </c>
      <c r="T36" s="469"/>
      <c r="U36" s="443"/>
      <c r="V36" s="103"/>
    </row>
    <row r="37" spans="1:22" ht="30" customHeight="1" x14ac:dyDescent="0.2">
      <c r="A37" s="468"/>
      <c r="B37" s="470"/>
      <c r="C37" s="450"/>
      <c r="D37" s="123" t="s">
        <v>322</v>
      </c>
      <c r="E37" s="448"/>
      <c r="F37" s="448"/>
      <c r="G37" s="504"/>
      <c r="H37" s="450"/>
      <c r="I37" s="452"/>
      <c r="J37" s="450"/>
      <c r="K37" s="450"/>
      <c r="L37" s="450"/>
      <c r="M37" s="450"/>
      <c r="N37" s="450"/>
      <c r="O37" s="450"/>
      <c r="P37" s="450"/>
      <c r="Q37" s="448"/>
      <c r="R37" s="450"/>
      <c r="S37" s="452"/>
      <c r="T37" s="470"/>
      <c r="U37" s="444"/>
      <c r="V37" s="103"/>
    </row>
    <row r="38" spans="1:22" ht="30" customHeight="1" x14ac:dyDescent="0.2">
      <c r="A38" s="459">
        <v>15</v>
      </c>
      <c r="B38" s="469" t="s">
        <v>95</v>
      </c>
      <c r="C38" s="449" t="s">
        <v>295</v>
      </c>
      <c r="D38" s="466" t="s">
        <v>96</v>
      </c>
      <c r="E38" s="449" t="s">
        <v>46</v>
      </c>
      <c r="F38" s="447" t="s">
        <v>203</v>
      </c>
      <c r="G38" s="501">
        <v>44197</v>
      </c>
      <c r="H38" s="449" t="s">
        <v>281</v>
      </c>
      <c r="I38" s="499">
        <v>44197</v>
      </c>
      <c r="J38" s="449">
        <v>4</v>
      </c>
      <c r="K38" s="466">
        <v>6</v>
      </c>
      <c r="L38" s="449"/>
      <c r="M38" s="449"/>
      <c r="N38" s="449"/>
      <c r="O38" s="449"/>
      <c r="P38" s="449" t="s">
        <v>296</v>
      </c>
      <c r="Q38" s="449" t="s">
        <v>323</v>
      </c>
      <c r="R38" s="449">
        <v>2002</v>
      </c>
      <c r="S38" s="451">
        <v>26337</v>
      </c>
      <c r="T38" s="469"/>
      <c r="U38" s="443"/>
      <c r="V38" s="103"/>
    </row>
    <row r="39" spans="1:22" ht="30" customHeight="1" x14ac:dyDescent="0.2">
      <c r="A39" s="468"/>
      <c r="B39" s="484"/>
      <c r="C39" s="479"/>
      <c r="D39" s="467"/>
      <c r="E39" s="450"/>
      <c r="F39" s="448"/>
      <c r="G39" s="502"/>
      <c r="H39" s="450"/>
      <c r="I39" s="500"/>
      <c r="J39" s="479"/>
      <c r="K39" s="483"/>
      <c r="L39" s="479"/>
      <c r="M39" s="479"/>
      <c r="N39" s="479"/>
      <c r="O39" s="479"/>
      <c r="P39" s="479"/>
      <c r="Q39" s="479"/>
      <c r="R39" s="450"/>
      <c r="S39" s="482"/>
      <c r="T39" s="470"/>
      <c r="U39" s="444"/>
      <c r="V39" s="103"/>
    </row>
    <row r="40" spans="1:22" ht="30" customHeight="1" x14ac:dyDescent="0.2">
      <c r="A40" s="459">
        <v>16</v>
      </c>
      <c r="B40" s="491" t="s">
        <v>44</v>
      </c>
      <c r="C40" s="447" t="s">
        <v>295</v>
      </c>
      <c r="D40" s="493" t="s">
        <v>45</v>
      </c>
      <c r="E40" s="449" t="s">
        <v>46</v>
      </c>
      <c r="F40" s="447" t="s">
        <v>203</v>
      </c>
      <c r="G40" s="485">
        <v>44682</v>
      </c>
      <c r="H40" s="449" t="s">
        <v>281</v>
      </c>
      <c r="I40" s="487">
        <v>44682</v>
      </c>
      <c r="J40" s="449">
        <v>3</v>
      </c>
      <c r="K40" s="447">
        <v>3</v>
      </c>
      <c r="L40" s="449"/>
      <c r="M40" s="449"/>
      <c r="N40" s="449"/>
      <c r="O40" s="449"/>
      <c r="P40" s="449" t="s">
        <v>296</v>
      </c>
      <c r="Q40" s="449" t="s">
        <v>293</v>
      </c>
      <c r="R40" s="449">
        <v>2009</v>
      </c>
      <c r="S40" s="499">
        <v>27806</v>
      </c>
      <c r="T40" s="469"/>
      <c r="U40" s="443"/>
      <c r="V40" s="103"/>
    </row>
    <row r="41" spans="1:22" ht="30" customHeight="1" x14ac:dyDescent="0.2">
      <c r="A41" s="468"/>
      <c r="B41" s="492"/>
      <c r="C41" s="498"/>
      <c r="D41" s="494"/>
      <c r="E41" s="450"/>
      <c r="F41" s="448"/>
      <c r="G41" s="486"/>
      <c r="H41" s="450"/>
      <c r="I41" s="488"/>
      <c r="J41" s="450"/>
      <c r="K41" s="448"/>
      <c r="L41" s="479"/>
      <c r="M41" s="479"/>
      <c r="N41" s="479"/>
      <c r="O41" s="479"/>
      <c r="P41" s="479"/>
      <c r="Q41" s="479"/>
      <c r="R41" s="450"/>
      <c r="S41" s="500"/>
      <c r="T41" s="470"/>
      <c r="U41" s="444"/>
      <c r="V41" s="103"/>
    </row>
    <row r="42" spans="1:22" ht="30" customHeight="1" x14ac:dyDescent="0.2">
      <c r="A42" s="459">
        <v>17</v>
      </c>
      <c r="B42" s="491" t="s">
        <v>81</v>
      </c>
      <c r="C42" s="449" t="s">
        <v>279</v>
      </c>
      <c r="D42" s="493" t="s">
        <v>82</v>
      </c>
      <c r="E42" s="449" t="s">
        <v>46</v>
      </c>
      <c r="F42" s="447" t="s">
        <v>203</v>
      </c>
      <c r="G42" s="485">
        <v>44682</v>
      </c>
      <c r="H42" s="449" t="s">
        <v>281</v>
      </c>
      <c r="I42" s="487">
        <v>44682</v>
      </c>
      <c r="J42" s="449">
        <v>3</v>
      </c>
      <c r="K42" s="447">
        <v>3</v>
      </c>
      <c r="L42" s="449"/>
      <c r="M42" s="449"/>
      <c r="N42" s="449"/>
      <c r="O42" s="449"/>
      <c r="P42" s="449" t="s">
        <v>296</v>
      </c>
      <c r="Q42" s="447" t="s">
        <v>324</v>
      </c>
      <c r="R42" s="449">
        <v>2006</v>
      </c>
      <c r="S42" s="489">
        <v>30740</v>
      </c>
      <c r="T42" s="469"/>
      <c r="U42" s="443"/>
      <c r="V42" s="103"/>
    </row>
    <row r="43" spans="1:22" ht="30" customHeight="1" x14ac:dyDescent="0.2">
      <c r="A43" s="468"/>
      <c r="B43" s="492"/>
      <c r="C43" s="450"/>
      <c r="D43" s="494"/>
      <c r="E43" s="450"/>
      <c r="F43" s="448"/>
      <c r="G43" s="486"/>
      <c r="H43" s="450"/>
      <c r="I43" s="488"/>
      <c r="J43" s="450"/>
      <c r="K43" s="448"/>
      <c r="L43" s="479"/>
      <c r="M43" s="479"/>
      <c r="N43" s="479"/>
      <c r="O43" s="479"/>
      <c r="P43" s="479"/>
      <c r="Q43" s="448"/>
      <c r="R43" s="450"/>
      <c r="S43" s="490"/>
      <c r="T43" s="470"/>
      <c r="U43" s="444"/>
      <c r="V43" s="103"/>
    </row>
    <row r="44" spans="1:22" ht="30" customHeight="1" x14ac:dyDescent="0.2">
      <c r="A44" s="459">
        <v>18</v>
      </c>
      <c r="B44" s="469" t="s">
        <v>325</v>
      </c>
      <c r="C44" s="496" t="s">
        <v>295</v>
      </c>
      <c r="D44" s="493" t="s">
        <v>56</v>
      </c>
      <c r="E44" s="449" t="s">
        <v>46</v>
      </c>
      <c r="F44" s="447" t="s">
        <v>203</v>
      </c>
      <c r="G44" s="485">
        <v>44682</v>
      </c>
      <c r="H44" s="449" t="s">
        <v>281</v>
      </c>
      <c r="I44" s="487">
        <v>44682</v>
      </c>
      <c r="J44" s="449">
        <v>3</v>
      </c>
      <c r="K44" s="447">
        <v>3</v>
      </c>
      <c r="L44" s="449"/>
      <c r="M44" s="449"/>
      <c r="N44" s="449"/>
      <c r="O44" s="449"/>
      <c r="P44" s="449" t="s">
        <v>296</v>
      </c>
      <c r="Q44" s="449" t="s">
        <v>292</v>
      </c>
      <c r="R44" s="449">
        <v>2011</v>
      </c>
      <c r="S44" s="489">
        <v>31874</v>
      </c>
      <c r="T44" s="469"/>
      <c r="U44" s="443"/>
      <c r="V44" s="103"/>
    </row>
    <row r="45" spans="1:22" ht="30" customHeight="1" x14ac:dyDescent="0.2">
      <c r="A45" s="468"/>
      <c r="B45" s="484"/>
      <c r="C45" s="497"/>
      <c r="D45" s="494"/>
      <c r="E45" s="450"/>
      <c r="F45" s="448"/>
      <c r="G45" s="486"/>
      <c r="H45" s="450"/>
      <c r="I45" s="488"/>
      <c r="J45" s="450"/>
      <c r="K45" s="448"/>
      <c r="L45" s="479"/>
      <c r="M45" s="479"/>
      <c r="N45" s="479"/>
      <c r="O45" s="479"/>
      <c r="P45" s="479"/>
      <c r="Q45" s="479"/>
      <c r="R45" s="479"/>
      <c r="S45" s="490"/>
      <c r="T45" s="470"/>
      <c r="U45" s="444"/>
      <c r="V45" s="103"/>
    </row>
    <row r="46" spans="1:22" ht="30" customHeight="1" x14ac:dyDescent="0.2">
      <c r="A46" s="459">
        <v>19</v>
      </c>
      <c r="B46" s="491" t="s">
        <v>87</v>
      </c>
      <c r="C46" s="449" t="s">
        <v>295</v>
      </c>
      <c r="D46" s="493" t="s">
        <v>88</v>
      </c>
      <c r="E46" s="449" t="s">
        <v>46</v>
      </c>
      <c r="F46" s="447" t="s">
        <v>203</v>
      </c>
      <c r="G46" s="485">
        <v>44682</v>
      </c>
      <c r="H46" s="449" t="s">
        <v>281</v>
      </c>
      <c r="I46" s="487">
        <v>44682</v>
      </c>
      <c r="J46" s="449">
        <v>3</v>
      </c>
      <c r="K46" s="447">
        <v>3</v>
      </c>
      <c r="L46" s="449"/>
      <c r="M46" s="449"/>
      <c r="N46" s="449"/>
      <c r="O46" s="449"/>
      <c r="P46" s="449" t="s">
        <v>296</v>
      </c>
      <c r="Q46" s="449" t="s">
        <v>285</v>
      </c>
      <c r="R46" s="449">
        <v>2010</v>
      </c>
      <c r="S46" s="489">
        <v>31893</v>
      </c>
      <c r="T46" s="469"/>
      <c r="U46" s="443"/>
      <c r="V46" s="103"/>
    </row>
    <row r="47" spans="1:22" ht="30" customHeight="1" x14ac:dyDescent="0.2">
      <c r="A47" s="468"/>
      <c r="B47" s="492"/>
      <c r="C47" s="450"/>
      <c r="D47" s="494"/>
      <c r="E47" s="450"/>
      <c r="F47" s="448"/>
      <c r="G47" s="486"/>
      <c r="H47" s="450"/>
      <c r="I47" s="488"/>
      <c r="J47" s="450"/>
      <c r="K47" s="448"/>
      <c r="L47" s="479"/>
      <c r="M47" s="479"/>
      <c r="N47" s="479"/>
      <c r="O47" s="479"/>
      <c r="P47" s="450"/>
      <c r="Q47" s="450"/>
      <c r="R47" s="450"/>
      <c r="S47" s="495"/>
      <c r="T47" s="470"/>
      <c r="U47" s="444"/>
      <c r="V47" s="103"/>
    </row>
    <row r="48" spans="1:22" ht="30" customHeight="1" x14ac:dyDescent="0.2">
      <c r="A48" s="459">
        <v>20</v>
      </c>
      <c r="B48" s="469" t="s">
        <v>91</v>
      </c>
      <c r="C48" s="449" t="s">
        <v>279</v>
      </c>
      <c r="D48" s="449"/>
      <c r="E48" s="449"/>
      <c r="F48" s="447"/>
      <c r="G48" s="449"/>
      <c r="H48" s="449" t="s">
        <v>326</v>
      </c>
      <c r="I48" s="451">
        <v>39083</v>
      </c>
      <c r="J48" s="449">
        <v>18</v>
      </c>
      <c r="K48" s="466">
        <v>7</v>
      </c>
      <c r="L48" s="449"/>
      <c r="M48" s="449"/>
      <c r="N48" s="449"/>
      <c r="O48" s="449"/>
      <c r="P48" s="449" t="s">
        <v>296</v>
      </c>
      <c r="Q48" s="449" t="s">
        <v>310</v>
      </c>
      <c r="R48" s="449">
        <v>2005</v>
      </c>
      <c r="S48" s="451">
        <v>28463</v>
      </c>
      <c r="T48" s="469"/>
      <c r="U48" s="443"/>
      <c r="V48" s="103"/>
    </row>
    <row r="49" spans="1:22" ht="30" customHeight="1" x14ac:dyDescent="0.2">
      <c r="A49" s="468"/>
      <c r="B49" s="484"/>
      <c r="C49" s="479"/>
      <c r="D49" s="450"/>
      <c r="E49" s="450"/>
      <c r="F49" s="448"/>
      <c r="G49" s="450"/>
      <c r="H49" s="479"/>
      <c r="I49" s="482"/>
      <c r="J49" s="479"/>
      <c r="K49" s="483"/>
      <c r="L49" s="479"/>
      <c r="M49" s="479"/>
      <c r="N49" s="479"/>
      <c r="O49" s="479"/>
      <c r="P49" s="479"/>
      <c r="Q49" s="479"/>
      <c r="R49" s="479"/>
      <c r="S49" s="482"/>
      <c r="T49" s="470"/>
      <c r="U49" s="444"/>
      <c r="V49" s="103"/>
    </row>
    <row r="50" spans="1:22" ht="30" customHeight="1" x14ac:dyDescent="0.2">
      <c r="A50" s="459">
        <v>21</v>
      </c>
      <c r="B50" s="469" t="s">
        <v>68</v>
      </c>
      <c r="C50" s="449" t="s">
        <v>279</v>
      </c>
      <c r="D50" s="449"/>
      <c r="E50" s="449"/>
      <c r="F50" s="447"/>
      <c r="G50" s="449"/>
      <c r="H50" s="449" t="s">
        <v>326</v>
      </c>
      <c r="I50" s="478">
        <v>45108</v>
      </c>
      <c r="J50" s="449">
        <v>2</v>
      </c>
      <c r="K50" s="466">
        <v>1</v>
      </c>
      <c r="L50" s="445"/>
      <c r="M50" s="445"/>
      <c r="N50" s="445"/>
      <c r="O50" s="445"/>
      <c r="P50" s="449" t="s">
        <v>296</v>
      </c>
      <c r="Q50" s="466" t="s">
        <v>327</v>
      </c>
      <c r="R50" s="466">
        <v>2022</v>
      </c>
      <c r="S50" s="480">
        <v>36759</v>
      </c>
      <c r="T50" s="441"/>
      <c r="U50" s="443"/>
      <c r="V50" s="103"/>
    </row>
    <row r="51" spans="1:22" ht="30" customHeight="1" x14ac:dyDescent="0.2">
      <c r="A51" s="468"/>
      <c r="B51" s="470"/>
      <c r="C51" s="479"/>
      <c r="D51" s="450"/>
      <c r="E51" s="450"/>
      <c r="F51" s="448"/>
      <c r="G51" s="450"/>
      <c r="H51" s="479"/>
      <c r="I51" s="477"/>
      <c r="J51" s="450"/>
      <c r="K51" s="467"/>
      <c r="L51" s="446"/>
      <c r="M51" s="446"/>
      <c r="N51" s="446"/>
      <c r="O51" s="446"/>
      <c r="P51" s="479"/>
      <c r="Q51" s="467"/>
      <c r="R51" s="467"/>
      <c r="S51" s="481"/>
      <c r="T51" s="442"/>
      <c r="U51" s="444"/>
      <c r="V51" s="103"/>
    </row>
    <row r="52" spans="1:22" ht="30" customHeight="1" x14ac:dyDescent="0.2">
      <c r="A52" s="459">
        <v>22</v>
      </c>
      <c r="B52" s="469" t="s">
        <v>33</v>
      </c>
      <c r="C52" s="453" t="s">
        <v>295</v>
      </c>
      <c r="D52" s="449"/>
      <c r="E52" s="449"/>
      <c r="F52" s="447"/>
      <c r="G52" s="449"/>
      <c r="H52" s="449" t="s">
        <v>326</v>
      </c>
      <c r="I52" s="478">
        <v>45108</v>
      </c>
      <c r="J52" s="449">
        <v>2</v>
      </c>
      <c r="K52" s="466">
        <v>1</v>
      </c>
      <c r="L52" s="445"/>
      <c r="M52" s="445"/>
      <c r="N52" s="445"/>
      <c r="O52" s="445"/>
      <c r="P52" s="129" t="s">
        <v>296</v>
      </c>
      <c r="Q52" s="308" t="s">
        <v>328</v>
      </c>
      <c r="R52" s="466">
        <v>2024</v>
      </c>
      <c r="S52" s="480">
        <v>35560</v>
      </c>
      <c r="T52" s="441"/>
      <c r="U52" s="443"/>
      <c r="V52" s="103"/>
    </row>
    <row r="53" spans="1:22" ht="30" customHeight="1" x14ac:dyDescent="0.2">
      <c r="A53" s="468"/>
      <c r="B53" s="470"/>
      <c r="C53" s="453"/>
      <c r="D53" s="450"/>
      <c r="E53" s="450"/>
      <c r="F53" s="448"/>
      <c r="G53" s="450"/>
      <c r="H53" s="479"/>
      <c r="I53" s="477"/>
      <c r="J53" s="450"/>
      <c r="K53" s="467"/>
      <c r="L53" s="446"/>
      <c r="M53" s="446"/>
      <c r="N53" s="446"/>
      <c r="O53" s="446"/>
      <c r="P53" s="124" t="s">
        <v>291</v>
      </c>
      <c r="Q53" s="308" t="s">
        <v>299</v>
      </c>
      <c r="R53" s="467"/>
      <c r="S53" s="481"/>
      <c r="T53" s="442"/>
      <c r="U53" s="444"/>
      <c r="V53" s="103"/>
    </row>
    <row r="54" spans="1:22" ht="30" customHeight="1" x14ac:dyDescent="0.2">
      <c r="A54" s="459">
        <v>24</v>
      </c>
      <c r="B54" s="469" t="s">
        <v>117</v>
      </c>
      <c r="C54" s="449" t="s">
        <v>279</v>
      </c>
      <c r="D54" s="449"/>
      <c r="E54" s="449"/>
      <c r="F54" s="447"/>
      <c r="G54" s="449"/>
      <c r="H54" s="449" t="s">
        <v>329</v>
      </c>
      <c r="I54" s="451">
        <v>39846</v>
      </c>
      <c r="J54" s="466">
        <v>16</v>
      </c>
      <c r="K54" s="449">
        <v>1</v>
      </c>
      <c r="L54" s="445"/>
      <c r="M54" s="445"/>
      <c r="N54" s="445"/>
      <c r="O54" s="445"/>
      <c r="P54" s="447" t="s">
        <v>330</v>
      </c>
      <c r="Q54" s="449"/>
      <c r="R54" s="449">
        <v>2014</v>
      </c>
      <c r="S54" s="451">
        <v>29020</v>
      </c>
      <c r="T54" s="441"/>
      <c r="U54" s="443"/>
      <c r="V54" s="103"/>
    </row>
    <row r="55" spans="1:22" ht="30" customHeight="1" x14ac:dyDescent="0.2">
      <c r="A55" s="468"/>
      <c r="B55" s="470"/>
      <c r="C55" s="450"/>
      <c r="D55" s="450"/>
      <c r="E55" s="450"/>
      <c r="F55" s="448"/>
      <c r="G55" s="450"/>
      <c r="H55" s="450"/>
      <c r="I55" s="452"/>
      <c r="J55" s="467"/>
      <c r="K55" s="450"/>
      <c r="L55" s="446"/>
      <c r="M55" s="446"/>
      <c r="N55" s="446"/>
      <c r="O55" s="446"/>
      <c r="P55" s="448"/>
      <c r="Q55" s="450"/>
      <c r="R55" s="450"/>
      <c r="S55" s="452"/>
      <c r="T55" s="442"/>
      <c r="U55" s="444"/>
      <c r="V55" s="103"/>
    </row>
    <row r="56" spans="1:22" ht="30" customHeight="1" x14ac:dyDescent="0.2">
      <c r="A56" s="459">
        <v>25</v>
      </c>
      <c r="B56" s="469" t="s">
        <v>113</v>
      </c>
      <c r="C56" s="449" t="s">
        <v>279</v>
      </c>
      <c r="D56" s="449"/>
      <c r="E56" s="449"/>
      <c r="F56" s="447"/>
      <c r="G56" s="449"/>
      <c r="H56" s="449" t="s">
        <v>329</v>
      </c>
      <c r="I56" s="451">
        <v>45383</v>
      </c>
      <c r="J56" s="466">
        <v>1</v>
      </c>
      <c r="K56" s="449">
        <v>4</v>
      </c>
      <c r="L56" s="445"/>
      <c r="M56" s="445"/>
      <c r="N56" s="445"/>
      <c r="O56" s="445"/>
      <c r="P56" s="449" t="s">
        <v>296</v>
      </c>
      <c r="Q56" s="449" t="s">
        <v>331</v>
      </c>
      <c r="R56" s="449">
        <v>2021</v>
      </c>
      <c r="S56" s="451">
        <v>34885</v>
      </c>
      <c r="T56" s="441"/>
      <c r="U56" s="443"/>
      <c r="V56" s="103"/>
    </row>
    <row r="57" spans="1:22" ht="30" customHeight="1" x14ac:dyDescent="0.2">
      <c r="A57" s="468"/>
      <c r="B57" s="470"/>
      <c r="C57" s="450"/>
      <c r="D57" s="450"/>
      <c r="E57" s="450"/>
      <c r="F57" s="448"/>
      <c r="G57" s="450"/>
      <c r="H57" s="450"/>
      <c r="I57" s="452"/>
      <c r="J57" s="467"/>
      <c r="K57" s="450"/>
      <c r="L57" s="446"/>
      <c r="M57" s="446"/>
      <c r="N57" s="446"/>
      <c r="O57" s="446"/>
      <c r="P57" s="450"/>
      <c r="Q57" s="450"/>
      <c r="R57" s="450"/>
      <c r="S57" s="452"/>
      <c r="T57" s="442"/>
      <c r="U57" s="444"/>
      <c r="V57" s="103"/>
    </row>
    <row r="58" spans="1:22" ht="30" customHeight="1" x14ac:dyDescent="0.2">
      <c r="A58" s="459">
        <v>26</v>
      </c>
      <c r="B58" s="469" t="s">
        <v>115</v>
      </c>
      <c r="C58" s="449" t="s">
        <v>295</v>
      </c>
      <c r="D58" s="449"/>
      <c r="E58" s="449"/>
      <c r="F58" s="447"/>
      <c r="G58" s="449"/>
      <c r="H58" s="449" t="s">
        <v>329</v>
      </c>
      <c r="I58" s="451">
        <v>45717</v>
      </c>
      <c r="J58" s="466">
        <v>0</v>
      </c>
      <c r="K58" s="449">
        <v>5</v>
      </c>
      <c r="L58" s="445"/>
      <c r="M58" s="445"/>
      <c r="N58" s="445"/>
      <c r="O58" s="445"/>
      <c r="P58" s="449" t="s">
        <v>296</v>
      </c>
      <c r="Q58" s="449" t="s">
        <v>332</v>
      </c>
      <c r="R58" s="449">
        <v>2024</v>
      </c>
      <c r="S58" s="451">
        <v>37520</v>
      </c>
      <c r="T58" s="441"/>
      <c r="U58" s="443"/>
      <c r="V58" s="103"/>
    </row>
    <row r="59" spans="1:22" ht="30" customHeight="1" x14ac:dyDescent="0.2">
      <c r="A59" s="468"/>
      <c r="B59" s="470"/>
      <c r="C59" s="450"/>
      <c r="D59" s="450"/>
      <c r="E59" s="450"/>
      <c r="F59" s="448"/>
      <c r="G59" s="450"/>
      <c r="H59" s="450"/>
      <c r="I59" s="452"/>
      <c r="J59" s="467"/>
      <c r="K59" s="450"/>
      <c r="L59" s="446"/>
      <c r="M59" s="446"/>
      <c r="N59" s="446"/>
      <c r="O59" s="446"/>
      <c r="P59" s="450"/>
      <c r="Q59" s="450"/>
      <c r="R59" s="450"/>
      <c r="S59" s="452"/>
      <c r="T59" s="442"/>
      <c r="U59" s="444"/>
      <c r="V59" s="103"/>
    </row>
    <row r="60" spans="1:22" ht="30" customHeight="1" x14ac:dyDescent="0.2">
      <c r="A60" s="459">
        <v>27</v>
      </c>
      <c r="B60" s="469" t="s">
        <v>120</v>
      </c>
      <c r="C60" s="449" t="s">
        <v>279</v>
      </c>
      <c r="D60" s="449"/>
      <c r="E60" s="449"/>
      <c r="F60" s="447"/>
      <c r="G60" s="449"/>
      <c r="H60" s="449" t="s">
        <v>329</v>
      </c>
      <c r="I60" s="451">
        <v>44744</v>
      </c>
      <c r="J60" s="466">
        <v>3</v>
      </c>
      <c r="K60" s="449">
        <v>1</v>
      </c>
      <c r="L60" s="445"/>
      <c r="M60" s="445"/>
      <c r="N60" s="445"/>
      <c r="O60" s="445"/>
      <c r="P60" s="447" t="s">
        <v>330</v>
      </c>
      <c r="Q60" s="449"/>
      <c r="R60" s="449">
        <v>1983</v>
      </c>
      <c r="S60" s="451">
        <v>22811</v>
      </c>
      <c r="T60" s="441"/>
      <c r="U60" s="443"/>
      <c r="V60" s="103"/>
    </row>
    <row r="61" spans="1:22" ht="30" customHeight="1" x14ac:dyDescent="0.2">
      <c r="A61" s="468"/>
      <c r="B61" s="470"/>
      <c r="C61" s="450"/>
      <c r="D61" s="450"/>
      <c r="E61" s="450"/>
      <c r="F61" s="448"/>
      <c r="G61" s="450"/>
      <c r="H61" s="450"/>
      <c r="I61" s="452"/>
      <c r="J61" s="467"/>
      <c r="K61" s="450"/>
      <c r="L61" s="446"/>
      <c r="M61" s="446"/>
      <c r="N61" s="446"/>
      <c r="O61" s="446"/>
      <c r="P61" s="448"/>
      <c r="Q61" s="450"/>
      <c r="R61" s="450"/>
      <c r="S61" s="452"/>
      <c r="T61" s="442"/>
      <c r="U61" s="444"/>
      <c r="V61" s="103"/>
    </row>
    <row r="62" spans="1:22" ht="30" customHeight="1" x14ac:dyDescent="0.2">
      <c r="A62" s="459">
        <v>28</v>
      </c>
      <c r="B62" s="474" t="s">
        <v>122</v>
      </c>
      <c r="C62" s="476" t="s">
        <v>279</v>
      </c>
      <c r="D62" s="476"/>
      <c r="E62" s="476"/>
      <c r="F62" s="447"/>
      <c r="G62" s="476"/>
      <c r="H62" s="449" t="s">
        <v>329</v>
      </c>
      <c r="I62" s="478">
        <v>44013</v>
      </c>
      <c r="J62" s="476">
        <v>4</v>
      </c>
      <c r="K62" s="476">
        <v>10</v>
      </c>
      <c r="L62" s="476"/>
      <c r="M62" s="476"/>
      <c r="N62" s="476"/>
      <c r="O62" s="476"/>
      <c r="P62" s="476" t="s">
        <v>333</v>
      </c>
      <c r="Q62" s="476" t="s">
        <v>334</v>
      </c>
      <c r="R62" s="476">
        <v>1983</v>
      </c>
      <c r="S62" s="478">
        <v>22991</v>
      </c>
      <c r="T62" s="474"/>
      <c r="U62" s="546"/>
      <c r="V62" s="103"/>
    </row>
    <row r="63" spans="1:22" ht="30" customHeight="1" x14ac:dyDescent="0.2">
      <c r="A63" s="468"/>
      <c r="B63" s="475"/>
      <c r="C63" s="477"/>
      <c r="D63" s="477"/>
      <c r="E63" s="477"/>
      <c r="F63" s="448"/>
      <c r="G63" s="477"/>
      <c r="H63" s="450"/>
      <c r="I63" s="477"/>
      <c r="J63" s="477"/>
      <c r="K63" s="477"/>
      <c r="L63" s="477"/>
      <c r="M63" s="477"/>
      <c r="N63" s="477"/>
      <c r="O63" s="477"/>
      <c r="P63" s="477"/>
      <c r="Q63" s="477"/>
      <c r="R63" s="477"/>
      <c r="S63" s="477"/>
      <c r="T63" s="475"/>
      <c r="U63" s="547"/>
      <c r="V63" s="103"/>
    </row>
    <row r="64" spans="1:22" ht="30" customHeight="1" x14ac:dyDescent="0.2">
      <c r="A64" s="459">
        <v>29</v>
      </c>
      <c r="B64" s="469" t="s">
        <v>335</v>
      </c>
      <c r="C64" s="449" t="s">
        <v>279</v>
      </c>
      <c r="D64" s="449"/>
      <c r="E64" s="449"/>
      <c r="F64" s="447"/>
      <c r="G64" s="449"/>
      <c r="H64" s="449" t="s">
        <v>329</v>
      </c>
      <c r="I64" s="451">
        <v>42492</v>
      </c>
      <c r="J64" s="466">
        <v>9</v>
      </c>
      <c r="K64" s="466">
        <v>1</v>
      </c>
      <c r="L64" s="445"/>
      <c r="M64" s="445"/>
      <c r="N64" s="445"/>
      <c r="O64" s="445"/>
      <c r="P64" s="447" t="s">
        <v>330</v>
      </c>
      <c r="Q64" s="449"/>
      <c r="R64" s="449">
        <v>2008</v>
      </c>
      <c r="S64" s="451">
        <v>25730</v>
      </c>
      <c r="T64" s="441"/>
      <c r="U64" s="443"/>
      <c r="V64" s="103"/>
    </row>
    <row r="65" spans="1:22" ht="30" customHeight="1" x14ac:dyDescent="0.2">
      <c r="A65" s="468"/>
      <c r="B65" s="470"/>
      <c r="C65" s="450"/>
      <c r="D65" s="450"/>
      <c r="E65" s="450"/>
      <c r="F65" s="448"/>
      <c r="G65" s="450"/>
      <c r="H65" s="450"/>
      <c r="I65" s="452"/>
      <c r="J65" s="467"/>
      <c r="K65" s="467"/>
      <c r="L65" s="446"/>
      <c r="M65" s="446"/>
      <c r="N65" s="446"/>
      <c r="O65" s="446"/>
      <c r="P65" s="448"/>
      <c r="Q65" s="450"/>
      <c r="R65" s="450"/>
      <c r="S65" s="452"/>
      <c r="T65" s="442"/>
      <c r="U65" s="444"/>
      <c r="V65" s="103"/>
    </row>
    <row r="66" spans="1:22" ht="30" customHeight="1" x14ac:dyDescent="0.2">
      <c r="A66" s="459">
        <v>30</v>
      </c>
      <c r="B66" s="461" t="s">
        <v>124</v>
      </c>
      <c r="C66" s="453" t="s">
        <v>279</v>
      </c>
      <c r="D66" s="449"/>
      <c r="E66" s="449"/>
      <c r="F66" s="449"/>
      <c r="G66" s="449"/>
      <c r="H66" s="453" t="s">
        <v>329</v>
      </c>
      <c r="I66" s="464">
        <v>34547</v>
      </c>
      <c r="J66" s="453">
        <v>31</v>
      </c>
      <c r="K66" s="471">
        <v>0</v>
      </c>
      <c r="L66" s="445"/>
      <c r="M66" s="445"/>
      <c r="N66" s="445"/>
      <c r="O66" s="445"/>
      <c r="P66" s="453" t="s">
        <v>336</v>
      </c>
      <c r="Q66" s="453"/>
      <c r="R66" s="453" t="s">
        <v>34</v>
      </c>
      <c r="S66" s="455">
        <v>17365</v>
      </c>
      <c r="T66" s="457"/>
      <c r="U66" s="443"/>
      <c r="V66" s="103"/>
    </row>
    <row r="67" spans="1:22" ht="30" customHeight="1" thickBot="1" x14ac:dyDescent="0.25">
      <c r="A67" s="460"/>
      <c r="B67" s="462"/>
      <c r="C67" s="454"/>
      <c r="D67" s="463"/>
      <c r="E67" s="463"/>
      <c r="F67" s="463"/>
      <c r="G67" s="463"/>
      <c r="H67" s="454"/>
      <c r="I67" s="465"/>
      <c r="J67" s="454"/>
      <c r="K67" s="472"/>
      <c r="L67" s="473"/>
      <c r="M67" s="473"/>
      <c r="N67" s="473"/>
      <c r="O67" s="473"/>
      <c r="P67" s="454"/>
      <c r="Q67" s="454"/>
      <c r="R67" s="454"/>
      <c r="S67" s="456"/>
      <c r="T67" s="458"/>
      <c r="U67" s="548"/>
      <c r="V67" s="103"/>
    </row>
    <row r="68" spans="1:22" ht="15.75" x14ac:dyDescent="0.25">
      <c r="A68" s="108"/>
      <c r="B68" s="108"/>
      <c r="C68" s="108"/>
      <c r="D68" s="107"/>
      <c r="E68" s="109"/>
      <c r="F68" s="109"/>
      <c r="G68" s="108"/>
      <c r="H68" s="108"/>
      <c r="I68" s="108"/>
      <c r="J68" s="108"/>
      <c r="K68" s="108"/>
      <c r="L68" s="108"/>
      <c r="M68" s="108"/>
      <c r="N68" s="108"/>
      <c r="O68" s="108"/>
      <c r="P68" s="107"/>
      <c r="Q68" s="108"/>
      <c r="R68" s="108"/>
      <c r="S68" s="108"/>
      <c r="T68" s="110"/>
      <c r="U68" s="107"/>
      <c r="V68" s="103"/>
    </row>
    <row r="69" spans="1:22" ht="15.75" x14ac:dyDescent="0.25">
      <c r="A69" s="108"/>
      <c r="B69" s="108"/>
      <c r="C69" s="108"/>
      <c r="D69" s="107"/>
      <c r="E69" s="109"/>
      <c r="F69" s="109"/>
      <c r="G69" s="108"/>
      <c r="H69" s="108"/>
      <c r="I69" s="108"/>
      <c r="J69" s="108"/>
      <c r="K69" s="108"/>
      <c r="L69" s="108"/>
      <c r="M69" s="108"/>
      <c r="N69" s="108"/>
      <c r="O69" s="108"/>
      <c r="P69" s="107"/>
      <c r="Q69" s="108"/>
      <c r="R69" s="103"/>
      <c r="S69" s="440" t="str">
        <f>GURU!R35</f>
        <v>Karangtengah, Agustus 2025</v>
      </c>
      <c r="T69" s="440"/>
      <c r="U69" s="440"/>
      <c r="V69" s="103"/>
    </row>
    <row r="70" spans="1:22" ht="15.75" x14ac:dyDescent="0.25">
      <c r="A70" s="108"/>
      <c r="B70" s="108"/>
      <c r="C70" s="108"/>
      <c r="D70" s="107"/>
      <c r="E70" s="109"/>
      <c r="F70" s="109"/>
      <c r="G70" s="108"/>
      <c r="H70" s="108"/>
      <c r="I70" s="108"/>
      <c r="J70" s="108"/>
      <c r="K70" s="108"/>
      <c r="L70" s="108"/>
      <c r="M70" s="108"/>
      <c r="N70" s="108"/>
      <c r="O70" s="108"/>
      <c r="P70" s="107"/>
      <c r="Q70" s="108"/>
      <c r="R70" s="103"/>
      <c r="S70" s="440" t="str">
        <f>GURU!R36</f>
        <v>Kepala SMP Negeri 2 Karangtengah</v>
      </c>
      <c r="T70" s="440"/>
      <c r="U70" s="440"/>
      <c r="V70" s="103"/>
    </row>
    <row r="71" spans="1:22" ht="15.75" x14ac:dyDescent="0.25">
      <c r="A71" s="108"/>
      <c r="B71" s="108"/>
      <c r="C71" s="108"/>
      <c r="D71" s="107"/>
      <c r="E71" s="109"/>
      <c r="F71" s="109"/>
      <c r="G71" s="108"/>
      <c r="H71" s="108"/>
      <c r="I71" s="108"/>
      <c r="J71" s="108"/>
      <c r="K71" s="108"/>
      <c r="L71" s="108"/>
      <c r="M71" s="108"/>
      <c r="N71" s="108"/>
      <c r="O71" s="108"/>
      <c r="P71" s="107"/>
      <c r="Q71" s="108"/>
      <c r="R71" s="103"/>
      <c r="S71" s="440"/>
      <c r="T71" s="440"/>
      <c r="U71" s="440"/>
      <c r="V71" s="103"/>
    </row>
    <row r="72" spans="1:22" ht="15.75" x14ac:dyDescent="0.25">
      <c r="A72" s="108"/>
      <c r="B72" s="108"/>
      <c r="C72" s="108"/>
      <c r="D72" s="107"/>
      <c r="E72" s="109"/>
      <c r="F72" s="109"/>
      <c r="G72" s="108"/>
      <c r="H72" s="108"/>
      <c r="I72" s="108"/>
      <c r="J72" s="108"/>
      <c r="K72" s="108"/>
      <c r="L72" s="108"/>
      <c r="M72" s="108"/>
      <c r="N72" s="108"/>
      <c r="O72" s="108"/>
      <c r="P72" s="107"/>
      <c r="Q72" s="108"/>
      <c r="R72" s="103"/>
      <c r="S72" s="440"/>
      <c r="T72" s="440"/>
      <c r="U72" s="440"/>
      <c r="V72" s="103"/>
    </row>
    <row r="73" spans="1:22" ht="15.75" x14ac:dyDescent="0.25">
      <c r="A73" s="108"/>
      <c r="B73" s="108"/>
      <c r="C73" s="108"/>
      <c r="D73" s="107"/>
      <c r="E73" s="109"/>
      <c r="F73" s="109"/>
      <c r="G73" s="108"/>
      <c r="H73" s="108"/>
      <c r="I73" s="108"/>
      <c r="J73" s="108"/>
      <c r="K73" s="108"/>
      <c r="L73" s="108"/>
      <c r="M73" s="108"/>
      <c r="N73" s="108"/>
      <c r="O73" s="108"/>
      <c r="P73" s="107"/>
      <c r="Q73" s="108"/>
      <c r="R73" s="103"/>
      <c r="S73" s="440"/>
      <c r="T73" s="440"/>
      <c r="U73" s="440"/>
      <c r="V73" s="103"/>
    </row>
    <row r="74" spans="1:22" ht="15.75" x14ac:dyDescent="0.25">
      <c r="A74" s="108"/>
      <c r="B74" s="108"/>
      <c r="C74" s="108"/>
      <c r="D74" s="107"/>
      <c r="E74" s="109"/>
      <c r="F74" s="109"/>
      <c r="G74" s="108"/>
      <c r="H74" s="108"/>
      <c r="I74" s="108"/>
      <c r="J74" s="108"/>
      <c r="K74" s="108"/>
      <c r="L74" s="108"/>
      <c r="M74" s="108"/>
      <c r="N74" s="108"/>
      <c r="O74" s="108"/>
      <c r="P74" s="107"/>
      <c r="Q74" s="108"/>
      <c r="R74" s="103"/>
      <c r="S74" s="545" t="str">
        <f>GURU!R40</f>
        <v>Priyantono, S.Pd., M.Pd.</v>
      </c>
      <c r="T74" s="545"/>
      <c r="U74" s="545"/>
      <c r="V74" s="103"/>
    </row>
    <row r="75" spans="1:22" ht="15.75" x14ac:dyDescent="0.25">
      <c r="A75" s="108"/>
      <c r="B75" s="108"/>
      <c r="C75" s="108"/>
      <c r="D75" s="107"/>
      <c r="E75" s="109"/>
      <c r="F75" s="109"/>
      <c r="G75" s="108"/>
      <c r="H75" s="108"/>
      <c r="I75" s="108"/>
      <c r="J75" s="108"/>
      <c r="K75" s="108"/>
      <c r="L75" s="108"/>
      <c r="M75" s="108"/>
      <c r="N75" s="108"/>
      <c r="O75" s="108"/>
      <c r="P75" s="107"/>
      <c r="Q75" s="108"/>
      <c r="R75" s="103"/>
      <c r="S75" s="440" t="str">
        <f>GURU!R41</f>
        <v>Pembina Utama Muda, IV/c</v>
      </c>
      <c r="T75" s="440"/>
      <c r="U75" s="440"/>
      <c r="V75" s="103"/>
    </row>
    <row r="76" spans="1:22" x14ac:dyDescent="0.25">
      <c r="S76" s="402" t="str">
        <f>GURU!R42</f>
        <v>NIP. 196902251994031005</v>
      </c>
      <c r="T76" s="402"/>
      <c r="U76" s="402"/>
    </row>
  </sheetData>
  <mergeCells count="604">
    <mergeCell ref="F62:F63"/>
    <mergeCell ref="F64:F65"/>
    <mergeCell ref="F66:F67"/>
    <mergeCell ref="S69:U69"/>
    <mergeCell ref="S70:U70"/>
    <mergeCell ref="S71:U71"/>
    <mergeCell ref="S72:U72"/>
    <mergeCell ref="S73:U73"/>
    <mergeCell ref="S74:U74"/>
    <mergeCell ref="Q62:Q63"/>
    <mergeCell ref="R62:R63"/>
    <mergeCell ref="S62:S63"/>
    <mergeCell ref="T62:T63"/>
    <mergeCell ref="U62:U63"/>
    <mergeCell ref="J62:J63"/>
    <mergeCell ref="K62:K63"/>
    <mergeCell ref="L62:L63"/>
    <mergeCell ref="M62:M63"/>
    <mergeCell ref="N62:N63"/>
    <mergeCell ref="O62:O63"/>
    <mergeCell ref="U66:U67"/>
    <mergeCell ref="M66:M67"/>
    <mergeCell ref="N66:N67"/>
    <mergeCell ref="O66:O67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A1:T1"/>
    <mergeCell ref="U1:U5"/>
    <mergeCell ref="A2:T2"/>
    <mergeCell ref="A3:T3"/>
    <mergeCell ref="A4:T4"/>
    <mergeCell ref="A5:T5"/>
    <mergeCell ref="T7:T8"/>
    <mergeCell ref="U7:U8"/>
    <mergeCell ref="A10:A11"/>
    <mergeCell ref="B10:B11"/>
    <mergeCell ref="C10:C11"/>
    <mergeCell ref="E10:E11"/>
    <mergeCell ref="G10:G11"/>
    <mergeCell ref="O10:O11"/>
    <mergeCell ref="S10:S11"/>
    <mergeCell ref="T10:T11"/>
    <mergeCell ref="J7:K7"/>
    <mergeCell ref="L7:O7"/>
    <mergeCell ref="P7:P8"/>
    <mergeCell ref="Q7:Q8"/>
    <mergeCell ref="R7:R8"/>
    <mergeCell ref="S7:S8"/>
    <mergeCell ref="A7:A8"/>
    <mergeCell ref="B7:B8"/>
    <mergeCell ref="C7:C8"/>
    <mergeCell ref="D7:D8"/>
    <mergeCell ref="E7:G7"/>
    <mergeCell ref="H7:I7"/>
    <mergeCell ref="U10:U11"/>
    <mergeCell ref="A12:A13"/>
    <mergeCell ref="B12:B13"/>
    <mergeCell ref="C12:C13"/>
    <mergeCell ref="E12:E13"/>
    <mergeCell ref="G12:G13"/>
    <mergeCell ref="H12:H13"/>
    <mergeCell ref="I12:I13"/>
    <mergeCell ref="J12:J13"/>
    <mergeCell ref="K12:K13"/>
    <mergeCell ref="R12:R13"/>
    <mergeCell ref="S12:S13"/>
    <mergeCell ref="T12:T13"/>
    <mergeCell ref="U12:U13"/>
    <mergeCell ref="O12:O13"/>
    <mergeCell ref="P12:P13"/>
    <mergeCell ref="Q12:Q13"/>
    <mergeCell ref="F10:F11"/>
    <mergeCell ref="F12:F13"/>
    <mergeCell ref="A14:A15"/>
    <mergeCell ref="B14:B15"/>
    <mergeCell ref="C14:C15"/>
    <mergeCell ref="E14:E15"/>
    <mergeCell ref="G14:G15"/>
    <mergeCell ref="H14:H15"/>
    <mergeCell ref="L12:L13"/>
    <mergeCell ref="M12:M13"/>
    <mergeCell ref="N12:N13"/>
    <mergeCell ref="F14:F15"/>
    <mergeCell ref="O14:O15"/>
    <mergeCell ref="S14:S15"/>
    <mergeCell ref="T14:T15"/>
    <mergeCell ref="U14:U15"/>
    <mergeCell ref="A16:A17"/>
    <mergeCell ref="B16:B17"/>
    <mergeCell ref="C16:C17"/>
    <mergeCell ref="E16:E17"/>
    <mergeCell ref="G16:G17"/>
    <mergeCell ref="H16:H17"/>
    <mergeCell ref="I14:I15"/>
    <mergeCell ref="J14:J15"/>
    <mergeCell ref="K14:K15"/>
    <mergeCell ref="L14:L15"/>
    <mergeCell ref="M14:M15"/>
    <mergeCell ref="N14:N15"/>
    <mergeCell ref="U16:U17"/>
    <mergeCell ref="O16:O17"/>
    <mergeCell ref="P16:P17"/>
    <mergeCell ref="Q16:Q17"/>
    <mergeCell ref="R16:R17"/>
    <mergeCell ref="S16:S17"/>
    <mergeCell ref="T16:T17"/>
    <mergeCell ref="I16:I17"/>
    <mergeCell ref="J16:J17"/>
    <mergeCell ref="K16:K17"/>
    <mergeCell ref="L16:L17"/>
    <mergeCell ref="M16:M17"/>
    <mergeCell ref="N16:N17"/>
    <mergeCell ref="R18:R19"/>
    <mergeCell ref="S18:S19"/>
    <mergeCell ref="T18:T19"/>
    <mergeCell ref="U18:U19"/>
    <mergeCell ref="O18:O19"/>
    <mergeCell ref="P18:P19"/>
    <mergeCell ref="Q18:Q19"/>
    <mergeCell ref="J18:J19"/>
    <mergeCell ref="K18:K19"/>
    <mergeCell ref="L18:L19"/>
    <mergeCell ref="M18:M19"/>
    <mergeCell ref="N18:N19"/>
    <mergeCell ref="A18:A19"/>
    <mergeCell ref="B18:B19"/>
    <mergeCell ref="C18:C19"/>
    <mergeCell ref="E18:E19"/>
    <mergeCell ref="G18:G19"/>
    <mergeCell ref="H18:H19"/>
    <mergeCell ref="I18:I19"/>
    <mergeCell ref="R20:R21"/>
    <mergeCell ref="S20:S21"/>
    <mergeCell ref="H22:H23"/>
    <mergeCell ref="I22:I23"/>
    <mergeCell ref="J22:J23"/>
    <mergeCell ref="K22:K23"/>
    <mergeCell ref="O20:O21"/>
    <mergeCell ref="P20:P21"/>
    <mergeCell ref="Q20:Q21"/>
    <mergeCell ref="U22:U23"/>
    <mergeCell ref="A20:A21"/>
    <mergeCell ref="B20:B21"/>
    <mergeCell ref="C20:C21"/>
    <mergeCell ref="E20:E21"/>
    <mergeCell ref="G20:G21"/>
    <mergeCell ref="H20:H21"/>
    <mergeCell ref="L22:L23"/>
    <mergeCell ref="U20:U21"/>
    <mergeCell ref="A22:A23"/>
    <mergeCell ref="B22:B23"/>
    <mergeCell ref="C22:C23"/>
    <mergeCell ref="E22:E23"/>
    <mergeCell ref="G22:G23"/>
    <mergeCell ref="M22:M23"/>
    <mergeCell ref="N22:N23"/>
    <mergeCell ref="O22:O23"/>
    <mergeCell ref="T20:T21"/>
    <mergeCell ref="I20:I21"/>
    <mergeCell ref="J20:J21"/>
    <mergeCell ref="K20:K21"/>
    <mergeCell ref="L20:L21"/>
    <mergeCell ref="M20:M21"/>
    <mergeCell ref="N20:N21"/>
    <mergeCell ref="T22:T23"/>
    <mergeCell ref="T24:T25"/>
    <mergeCell ref="R22:R23"/>
    <mergeCell ref="S22:S23"/>
    <mergeCell ref="U26:U27"/>
    <mergeCell ref="O26:O27"/>
    <mergeCell ref="P26:P27"/>
    <mergeCell ref="Q26:Q27"/>
    <mergeCell ref="S26:S27"/>
    <mergeCell ref="A24:A25"/>
    <mergeCell ref="I24:I25"/>
    <mergeCell ref="J24:J25"/>
    <mergeCell ref="R26:R27"/>
    <mergeCell ref="H26:H27"/>
    <mergeCell ref="I26:I27"/>
    <mergeCell ref="A26:A27"/>
    <mergeCell ref="B26:B27"/>
    <mergeCell ref="C26:C27"/>
    <mergeCell ref="E26:E27"/>
    <mergeCell ref="G26:G27"/>
    <mergeCell ref="K24:K25"/>
    <mergeCell ref="L24:L25"/>
    <mergeCell ref="M24:M25"/>
    <mergeCell ref="N24:N25"/>
    <mergeCell ref="A30:A31"/>
    <mergeCell ref="B30:B31"/>
    <mergeCell ref="C30:C31"/>
    <mergeCell ref="E30:E31"/>
    <mergeCell ref="G30:G31"/>
    <mergeCell ref="H30:H31"/>
    <mergeCell ref="Q24:Q25"/>
    <mergeCell ref="R24:R25"/>
    <mergeCell ref="S24:S25"/>
    <mergeCell ref="N26:N27"/>
    <mergeCell ref="M26:M27"/>
    <mergeCell ref="J26:J27"/>
    <mergeCell ref="K26:K27"/>
    <mergeCell ref="L26:L27"/>
    <mergeCell ref="A28:A29"/>
    <mergeCell ref="B28:B29"/>
    <mergeCell ref="C28:C29"/>
    <mergeCell ref="E28:E29"/>
    <mergeCell ref="G28:G29"/>
    <mergeCell ref="H28:H29"/>
    <mergeCell ref="I28:I29"/>
    <mergeCell ref="J28:J29"/>
    <mergeCell ref="B24:B25"/>
    <mergeCell ref="C24:C25"/>
    <mergeCell ref="E24:E25"/>
    <mergeCell ref="G24:G25"/>
    <mergeCell ref="H24:H25"/>
    <mergeCell ref="T30:T31"/>
    <mergeCell ref="U30:U31"/>
    <mergeCell ref="J30:J31"/>
    <mergeCell ref="K30:K31"/>
    <mergeCell ref="L30:L31"/>
    <mergeCell ref="M30:M31"/>
    <mergeCell ref="N30:N31"/>
    <mergeCell ref="O30:O31"/>
    <mergeCell ref="S28:S29"/>
    <mergeCell ref="T28:T29"/>
    <mergeCell ref="U28:U29"/>
    <mergeCell ref="M28:M29"/>
    <mergeCell ref="N28:N29"/>
    <mergeCell ref="O28:O29"/>
    <mergeCell ref="R28:R29"/>
    <mergeCell ref="K28:K29"/>
    <mergeCell ref="L28:L29"/>
    <mergeCell ref="U24:U25"/>
    <mergeCell ref="O24:O25"/>
    <mergeCell ref="P24:P25"/>
    <mergeCell ref="T26:T27"/>
    <mergeCell ref="B32:B33"/>
    <mergeCell ref="C32:C33"/>
    <mergeCell ref="E32:E33"/>
    <mergeCell ref="G32:G33"/>
    <mergeCell ref="H32:H33"/>
    <mergeCell ref="P30:P31"/>
    <mergeCell ref="Q30:Q31"/>
    <mergeCell ref="R30:R31"/>
    <mergeCell ref="S30:S31"/>
    <mergeCell ref="I30:I31"/>
    <mergeCell ref="I36:I37"/>
    <mergeCell ref="U32:U33"/>
    <mergeCell ref="A34:A35"/>
    <mergeCell ref="B34:B35"/>
    <mergeCell ref="C34:C35"/>
    <mergeCell ref="E34:E35"/>
    <mergeCell ref="G34:G35"/>
    <mergeCell ref="H34:H35"/>
    <mergeCell ref="I34:I35"/>
    <mergeCell ref="J34:J35"/>
    <mergeCell ref="K34:K35"/>
    <mergeCell ref="O32:O33"/>
    <mergeCell ref="P32:P33"/>
    <mergeCell ref="Q32:Q33"/>
    <mergeCell ref="R32:R33"/>
    <mergeCell ref="S32:S33"/>
    <mergeCell ref="T32:T33"/>
    <mergeCell ref="I32:I33"/>
    <mergeCell ref="J32:J33"/>
    <mergeCell ref="K32:K33"/>
    <mergeCell ref="L32:L33"/>
    <mergeCell ref="M32:M33"/>
    <mergeCell ref="N32:N33"/>
    <mergeCell ref="A32:A33"/>
    <mergeCell ref="G38:G39"/>
    <mergeCell ref="H38:H39"/>
    <mergeCell ref="I38:I39"/>
    <mergeCell ref="J38:J39"/>
    <mergeCell ref="R34:R35"/>
    <mergeCell ref="S34:S35"/>
    <mergeCell ref="T34:T35"/>
    <mergeCell ref="U34:U35"/>
    <mergeCell ref="A36:A37"/>
    <mergeCell ref="B36:B37"/>
    <mergeCell ref="C36:C37"/>
    <mergeCell ref="E36:E37"/>
    <mergeCell ref="G36:G37"/>
    <mergeCell ref="H36:H37"/>
    <mergeCell ref="L34:L35"/>
    <mergeCell ref="M34:M35"/>
    <mergeCell ref="N34:N35"/>
    <mergeCell ref="O34:O35"/>
    <mergeCell ref="P34:P35"/>
    <mergeCell ref="Q34:Q35"/>
    <mergeCell ref="U36:U37"/>
    <mergeCell ref="O36:O37"/>
    <mergeCell ref="P36:P37"/>
    <mergeCell ref="Q36:Q37"/>
    <mergeCell ref="J36:J37"/>
    <mergeCell ref="K36:K37"/>
    <mergeCell ref="L36:L37"/>
    <mergeCell ref="M36:M37"/>
    <mergeCell ref="N36:N37"/>
    <mergeCell ref="Q38:Q39"/>
    <mergeCell ref="R38:R39"/>
    <mergeCell ref="S38:S39"/>
    <mergeCell ref="T38:T39"/>
    <mergeCell ref="R36:R37"/>
    <mergeCell ref="S36:S37"/>
    <mergeCell ref="T36:T37"/>
    <mergeCell ref="U38:U39"/>
    <mergeCell ref="A40:A41"/>
    <mergeCell ref="B40:B41"/>
    <mergeCell ref="C40:C41"/>
    <mergeCell ref="D40:D41"/>
    <mergeCell ref="E40:E41"/>
    <mergeCell ref="K38:K39"/>
    <mergeCell ref="L38:L39"/>
    <mergeCell ref="M38:M39"/>
    <mergeCell ref="N38:N39"/>
    <mergeCell ref="O38:O39"/>
    <mergeCell ref="P38:P39"/>
    <mergeCell ref="S40:S41"/>
    <mergeCell ref="T40:T41"/>
    <mergeCell ref="U40:U41"/>
    <mergeCell ref="O40:O41"/>
    <mergeCell ref="P40:P41"/>
    <mergeCell ref="Q40:Q41"/>
    <mergeCell ref="R40:R41"/>
    <mergeCell ref="A38:A39"/>
    <mergeCell ref="B38:B39"/>
    <mergeCell ref="C38:C39"/>
    <mergeCell ref="D38:D39"/>
    <mergeCell ref="E38:E39"/>
    <mergeCell ref="A42:A43"/>
    <mergeCell ref="B42:B43"/>
    <mergeCell ref="C42:C43"/>
    <mergeCell ref="D42:D43"/>
    <mergeCell ref="E42:E43"/>
    <mergeCell ref="G42:G43"/>
    <mergeCell ref="H42:H43"/>
    <mergeCell ref="M40:M41"/>
    <mergeCell ref="N40:N41"/>
    <mergeCell ref="G40:G41"/>
    <mergeCell ref="H40:H41"/>
    <mergeCell ref="I40:I41"/>
    <mergeCell ref="J40:J41"/>
    <mergeCell ref="K40:K41"/>
    <mergeCell ref="L40:L41"/>
    <mergeCell ref="U42:U43"/>
    <mergeCell ref="A44:A45"/>
    <mergeCell ref="B44:B45"/>
    <mergeCell ref="C44:C45"/>
    <mergeCell ref="D44:D45"/>
    <mergeCell ref="E44:E45"/>
    <mergeCell ref="G44:G45"/>
    <mergeCell ref="H44:H45"/>
    <mergeCell ref="I44:I45"/>
    <mergeCell ref="J44:J45"/>
    <mergeCell ref="O42:O43"/>
    <mergeCell ref="P42:P43"/>
    <mergeCell ref="Q42:Q43"/>
    <mergeCell ref="R42:R43"/>
    <mergeCell ref="S42:S43"/>
    <mergeCell ref="T42:T43"/>
    <mergeCell ref="I42:I43"/>
    <mergeCell ref="J42:J43"/>
    <mergeCell ref="K42:K43"/>
    <mergeCell ref="L42:L43"/>
    <mergeCell ref="M42:M43"/>
    <mergeCell ref="N42:N43"/>
    <mergeCell ref="Q44:Q45"/>
    <mergeCell ref="R44:R45"/>
    <mergeCell ref="S44:S45"/>
    <mergeCell ref="T44:T45"/>
    <mergeCell ref="U44:U45"/>
    <mergeCell ref="A46:A47"/>
    <mergeCell ref="B46:B47"/>
    <mergeCell ref="C46:C47"/>
    <mergeCell ref="D46:D47"/>
    <mergeCell ref="E46:E47"/>
    <mergeCell ref="K44:K45"/>
    <mergeCell ref="L44:L45"/>
    <mergeCell ref="M44:M45"/>
    <mergeCell ref="N44:N45"/>
    <mergeCell ref="O44:O45"/>
    <mergeCell ref="P44:P45"/>
    <mergeCell ref="S46:S47"/>
    <mergeCell ref="T46:T47"/>
    <mergeCell ref="U46:U47"/>
    <mergeCell ref="O46:O47"/>
    <mergeCell ref="P46:P47"/>
    <mergeCell ref="Q46:Q47"/>
    <mergeCell ref="R46:R47"/>
    <mergeCell ref="A48:A49"/>
    <mergeCell ref="B48:B49"/>
    <mergeCell ref="C48:C49"/>
    <mergeCell ref="D48:D49"/>
    <mergeCell ref="E48:E49"/>
    <mergeCell ref="G48:G49"/>
    <mergeCell ref="H48:H49"/>
    <mergeCell ref="M46:M47"/>
    <mergeCell ref="N46:N47"/>
    <mergeCell ref="G46:G47"/>
    <mergeCell ref="H46:H47"/>
    <mergeCell ref="I46:I47"/>
    <mergeCell ref="J46:J47"/>
    <mergeCell ref="K46:K47"/>
    <mergeCell ref="L46:L47"/>
    <mergeCell ref="U48:U49"/>
    <mergeCell ref="A50:A51"/>
    <mergeCell ref="B50:B51"/>
    <mergeCell ref="C50:C51"/>
    <mergeCell ref="D50:D51"/>
    <mergeCell ref="E50:E51"/>
    <mergeCell ref="G50:G51"/>
    <mergeCell ref="H50:H51"/>
    <mergeCell ref="I50:I51"/>
    <mergeCell ref="J50:J51"/>
    <mergeCell ref="O48:O49"/>
    <mergeCell ref="P48:P49"/>
    <mergeCell ref="Q48:Q49"/>
    <mergeCell ref="R48:R49"/>
    <mergeCell ref="S48:S49"/>
    <mergeCell ref="T48:T49"/>
    <mergeCell ref="I48:I49"/>
    <mergeCell ref="J48:J49"/>
    <mergeCell ref="K48:K49"/>
    <mergeCell ref="L48:L49"/>
    <mergeCell ref="M48:M49"/>
    <mergeCell ref="N48:N49"/>
    <mergeCell ref="Q50:Q51"/>
    <mergeCell ref="R50:R51"/>
    <mergeCell ref="S50:S51"/>
    <mergeCell ref="T50:T51"/>
    <mergeCell ref="U50:U51"/>
    <mergeCell ref="A52:A53"/>
    <mergeCell ref="B52:B53"/>
    <mergeCell ref="C52:C53"/>
    <mergeCell ref="D52:D53"/>
    <mergeCell ref="E52:E53"/>
    <mergeCell ref="K50:K51"/>
    <mergeCell ref="L50:L51"/>
    <mergeCell ref="M50:M51"/>
    <mergeCell ref="N50:N51"/>
    <mergeCell ref="O50:O51"/>
    <mergeCell ref="P50:P51"/>
    <mergeCell ref="T52:T53"/>
    <mergeCell ref="U52:U53"/>
    <mergeCell ref="N52:N53"/>
    <mergeCell ref="O52:O53"/>
    <mergeCell ref="R52:R53"/>
    <mergeCell ref="S52:S53"/>
    <mergeCell ref="F52:F53"/>
    <mergeCell ref="A54:A55"/>
    <mergeCell ref="B54:B55"/>
    <mergeCell ref="C54:C55"/>
    <mergeCell ref="D54:D55"/>
    <mergeCell ref="E54:E55"/>
    <mergeCell ref="G54:G55"/>
    <mergeCell ref="H54:H55"/>
    <mergeCell ref="I54:I55"/>
    <mergeCell ref="M52:M53"/>
    <mergeCell ref="G52:G53"/>
    <mergeCell ref="H52:H53"/>
    <mergeCell ref="I52:I53"/>
    <mergeCell ref="J52:J53"/>
    <mergeCell ref="K52:K53"/>
    <mergeCell ref="L52:L53"/>
    <mergeCell ref="F54:F55"/>
    <mergeCell ref="P54:P55"/>
    <mergeCell ref="Q54:Q55"/>
    <mergeCell ref="R54:R55"/>
    <mergeCell ref="S54:S55"/>
    <mergeCell ref="T54:T55"/>
    <mergeCell ref="U54:U55"/>
    <mergeCell ref="J54:J55"/>
    <mergeCell ref="K54:K55"/>
    <mergeCell ref="L54:L55"/>
    <mergeCell ref="M54:M55"/>
    <mergeCell ref="N54:N55"/>
    <mergeCell ref="O54:O55"/>
    <mergeCell ref="A58:A59"/>
    <mergeCell ref="B58:B59"/>
    <mergeCell ref="C58:C59"/>
    <mergeCell ref="D58:D59"/>
    <mergeCell ref="E58:E59"/>
    <mergeCell ref="G58:G59"/>
    <mergeCell ref="H58:H59"/>
    <mergeCell ref="I58:I59"/>
    <mergeCell ref="N56:N57"/>
    <mergeCell ref="H56:H57"/>
    <mergeCell ref="I56:I57"/>
    <mergeCell ref="J56:J57"/>
    <mergeCell ref="K56:K57"/>
    <mergeCell ref="L56:L57"/>
    <mergeCell ref="M56:M57"/>
    <mergeCell ref="A56:A57"/>
    <mergeCell ref="B56:B57"/>
    <mergeCell ref="C56:C57"/>
    <mergeCell ref="D56:D57"/>
    <mergeCell ref="E56:E57"/>
    <mergeCell ref="G56:G57"/>
    <mergeCell ref="F56:F57"/>
    <mergeCell ref="F58:F59"/>
    <mergeCell ref="U58:U59"/>
    <mergeCell ref="J58:J59"/>
    <mergeCell ref="K58:K59"/>
    <mergeCell ref="L58:L59"/>
    <mergeCell ref="M58:M59"/>
    <mergeCell ref="N58:N59"/>
    <mergeCell ref="O58:O59"/>
    <mergeCell ref="T56:T57"/>
    <mergeCell ref="U56:U57"/>
    <mergeCell ref="O56:O57"/>
    <mergeCell ref="P56:P57"/>
    <mergeCell ref="Q56:Q57"/>
    <mergeCell ref="R56:R57"/>
    <mergeCell ref="S56:S57"/>
    <mergeCell ref="C60:C61"/>
    <mergeCell ref="D60:D61"/>
    <mergeCell ref="E60:E61"/>
    <mergeCell ref="G60:G61"/>
    <mergeCell ref="P58:P59"/>
    <mergeCell ref="Q58:Q59"/>
    <mergeCell ref="R58:R59"/>
    <mergeCell ref="S58:S59"/>
    <mergeCell ref="T58:T59"/>
    <mergeCell ref="T60:T61"/>
    <mergeCell ref="F60:F61"/>
    <mergeCell ref="U60:U61"/>
    <mergeCell ref="A62:A63"/>
    <mergeCell ref="B62:B63"/>
    <mergeCell ref="C62:C63"/>
    <mergeCell ref="D62:D63"/>
    <mergeCell ref="E62:E63"/>
    <mergeCell ref="G62:G63"/>
    <mergeCell ref="H62:H63"/>
    <mergeCell ref="I62:I63"/>
    <mergeCell ref="N60:N61"/>
    <mergeCell ref="O60:O61"/>
    <mergeCell ref="P60:P61"/>
    <mergeCell ref="Q60:Q61"/>
    <mergeCell ref="R60:R61"/>
    <mergeCell ref="S60:S61"/>
    <mergeCell ref="H60:H61"/>
    <mergeCell ref="I60:I61"/>
    <mergeCell ref="J60:J61"/>
    <mergeCell ref="K60:K61"/>
    <mergeCell ref="L60:L61"/>
    <mergeCell ref="M60:M61"/>
    <mergeCell ref="A60:A61"/>
    <mergeCell ref="B60:B61"/>
    <mergeCell ref="P62:P63"/>
    <mergeCell ref="A66:A67"/>
    <mergeCell ref="B66:B67"/>
    <mergeCell ref="C66:C67"/>
    <mergeCell ref="D66:D67"/>
    <mergeCell ref="E66:E67"/>
    <mergeCell ref="G66:G67"/>
    <mergeCell ref="H66:H67"/>
    <mergeCell ref="I66:I67"/>
    <mergeCell ref="N64:N65"/>
    <mergeCell ref="H64:H65"/>
    <mergeCell ref="I64:I65"/>
    <mergeCell ref="J64:J65"/>
    <mergeCell ref="K64:K65"/>
    <mergeCell ref="L64:L65"/>
    <mergeCell ref="M64:M65"/>
    <mergeCell ref="A64:A65"/>
    <mergeCell ref="B64:B65"/>
    <mergeCell ref="C64:C65"/>
    <mergeCell ref="D64:D65"/>
    <mergeCell ref="E64:E65"/>
    <mergeCell ref="G64:G65"/>
    <mergeCell ref="J66:J67"/>
    <mergeCell ref="K66:K67"/>
    <mergeCell ref="L66:L67"/>
    <mergeCell ref="S75:U75"/>
    <mergeCell ref="S76:U76"/>
    <mergeCell ref="T64:T65"/>
    <mergeCell ref="U64:U65"/>
    <mergeCell ref="O64:O65"/>
    <mergeCell ref="P64:P65"/>
    <mergeCell ref="Q64:Q65"/>
    <mergeCell ref="R64:R65"/>
    <mergeCell ref="S64:S65"/>
    <mergeCell ref="P66:P67"/>
    <mergeCell ref="Q66:Q67"/>
    <mergeCell ref="R66:R67"/>
    <mergeCell ref="S66:S67"/>
    <mergeCell ref="T66:T67"/>
  </mergeCells>
  <conditionalFormatting sqref="D40">
    <cfRule type="duplicateValues" dxfId="7" priority="7"/>
    <cfRule type="duplicateValues" dxfId="6" priority="8"/>
  </conditionalFormatting>
  <conditionalFormatting sqref="D42">
    <cfRule type="duplicateValues" dxfId="5" priority="1"/>
    <cfRule type="duplicateValues" dxfId="4" priority="2"/>
  </conditionalFormatting>
  <conditionalFormatting sqref="D44">
    <cfRule type="duplicateValues" dxfId="3" priority="3"/>
    <cfRule type="duplicateValues" dxfId="2" priority="4"/>
  </conditionalFormatting>
  <conditionalFormatting sqref="D46">
    <cfRule type="duplicateValues" dxfId="1" priority="5"/>
    <cfRule type="duplicateValues" dxfId="0" priority="6"/>
  </conditionalFormatting>
  <printOptions horizontalCentered="1"/>
  <pageMargins left="3.937007874015748E-2" right="3.937007874015748E-2" top="3.937007874015748E-2" bottom="3.937007874015748E-2" header="3.937007874015748E-2" footer="3.937007874015748E-2"/>
  <pageSetup paperSize="20000" scale="50" orientation="landscape" horizontalDpi="0" verticalDpi="0" r:id="rId1"/>
  <rowBreaks count="1" manualBreakCount="1">
    <brk id="37" max="20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9D66-57ED-4490-B149-EF88B5D7006E}">
  <dimension ref="A1:T31"/>
  <sheetViews>
    <sheetView view="pageBreakPreview" zoomScale="60" zoomScaleNormal="100" workbookViewId="0">
      <selection activeCell="Q24" sqref="Q24:R24"/>
    </sheetView>
  </sheetViews>
  <sheetFormatPr defaultRowHeight="15" x14ac:dyDescent="0.25"/>
  <cols>
    <col min="1" max="1" width="7.5703125" customWidth="1"/>
    <col min="2" max="2" width="40.42578125" bestFit="1" customWidth="1"/>
    <col min="3" max="3" width="4.85546875" bestFit="1" customWidth="1"/>
    <col min="4" max="4" width="15.7109375" bestFit="1" customWidth="1"/>
    <col min="5" max="5" width="9.85546875" customWidth="1"/>
    <col min="6" max="6" width="6" bestFit="1" customWidth="1"/>
    <col min="7" max="7" width="32.140625" customWidth="1"/>
    <col min="8" max="8" width="13" bestFit="1" customWidth="1"/>
    <col min="9" max="10" width="6.140625" bestFit="1" customWidth="1"/>
    <col min="11" max="11" width="8" bestFit="1" customWidth="1"/>
    <col min="12" max="13" width="7.7109375" bestFit="1" customWidth="1"/>
    <col min="14" max="14" width="6" bestFit="1" customWidth="1"/>
    <col min="15" max="15" width="26.7109375" customWidth="1"/>
    <col min="17" max="17" width="11.140625" bestFit="1" customWidth="1"/>
    <col min="18" max="18" width="31.140625" bestFit="1" customWidth="1"/>
    <col min="19" max="19" width="10" customWidth="1"/>
    <col min="20" max="20" width="6.85546875" bestFit="1" customWidth="1"/>
  </cols>
  <sheetData>
    <row r="1" spans="1:20" ht="18" customHeight="1" x14ac:dyDescent="0.25">
      <c r="A1" s="576" t="s">
        <v>337</v>
      </c>
      <c r="B1" s="576"/>
      <c r="C1" s="576"/>
      <c r="D1" s="576"/>
      <c r="E1" s="576"/>
      <c r="F1" s="576"/>
      <c r="G1" s="576"/>
      <c r="H1" s="576"/>
      <c r="I1" s="576"/>
      <c r="J1" s="576"/>
      <c r="K1" s="576"/>
      <c r="L1" s="576"/>
      <c r="M1" s="576"/>
      <c r="N1" s="576"/>
      <c r="O1" s="576"/>
      <c r="P1" s="576"/>
      <c r="Q1" s="576"/>
      <c r="R1" s="576"/>
      <c r="S1" s="567" t="s">
        <v>338</v>
      </c>
      <c r="T1" s="568"/>
    </row>
    <row r="2" spans="1:20" ht="18" customHeight="1" x14ac:dyDescent="0.25">
      <c r="A2" s="576" t="s">
        <v>263</v>
      </c>
      <c r="B2" s="576"/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6"/>
      <c r="N2" s="576"/>
      <c r="O2" s="576"/>
      <c r="P2" s="576"/>
      <c r="Q2" s="576"/>
      <c r="R2" s="576"/>
      <c r="S2" s="569"/>
      <c r="T2" s="570"/>
    </row>
    <row r="3" spans="1:20" ht="18" customHeight="1" x14ac:dyDescent="0.25">
      <c r="A3" s="576" t="s">
        <v>339</v>
      </c>
      <c r="B3" s="576"/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6"/>
      <c r="N3" s="576"/>
      <c r="O3" s="576"/>
      <c r="P3" s="576"/>
      <c r="Q3" s="576"/>
      <c r="R3" s="576"/>
      <c r="S3" s="569"/>
      <c r="T3" s="570"/>
    </row>
    <row r="4" spans="1:20" ht="18.75" customHeight="1" thickBot="1" x14ac:dyDescent="0.3">
      <c r="A4" s="576" t="s">
        <v>340</v>
      </c>
      <c r="B4" s="576"/>
      <c r="C4" s="576"/>
      <c r="D4" s="576"/>
      <c r="E4" s="576"/>
      <c r="F4" s="576"/>
      <c r="G4" s="576"/>
      <c r="H4" s="576"/>
      <c r="I4" s="576"/>
      <c r="J4" s="576"/>
      <c r="K4" s="576"/>
      <c r="L4" s="576"/>
      <c r="M4" s="576"/>
      <c r="N4" s="576"/>
      <c r="O4" s="576"/>
      <c r="P4" s="576"/>
      <c r="Q4" s="576"/>
      <c r="R4" s="576"/>
      <c r="S4" s="571"/>
      <c r="T4" s="572"/>
    </row>
    <row r="5" spans="1:20" ht="15.75" thickBot="1" x14ac:dyDescent="0.3">
      <c r="A5" s="130"/>
      <c r="B5" s="130"/>
      <c r="C5" s="130"/>
      <c r="D5" s="130"/>
      <c r="E5" s="130"/>
      <c r="F5" s="131"/>
      <c r="G5" s="130"/>
      <c r="H5" s="130"/>
      <c r="I5" s="132"/>
      <c r="J5" s="132"/>
      <c r="K5" s="130"/>
      <c r="L5" s="130"/>
      <c r="M5" s="130"/>
      <c r="N5" s="130"/>
      <c r="O5" s="130"/>
      <c r="P5" s="130"/>
      <c r="Q5" s="130"/>
      <c r="R5" s="130"/>
      <c r="S5" s="130"/>
      <c r="T5" s="130"/>
    </row>
    <row r="6" spans="1:20" ht="15.75" x14ac:dyDescent="0.25">
      <c r="A6" s="596" t="s">
        <v>341</v>
      </c>
      <c r="B6" s="586" t="s">
        <v>264</v>
      </c>
      <c r="C6" s="586" t="s">
        <v>265</v>
      </c>
      <c r="D6" s="586" t="s">
        <v>342</v>
      </c>
      <c r="E6" s="598" t="s">
        <v>267</v>
      </c>
      <c r="F6" s="599"/>
      <c r="G6" s="598" t="s">
        <v>12</v>
      </c>
      <c r="H6" s="599"/>
      <c r="I6" s="598" t="s">
        <v>268</v>
      </c>
      <c r="J6" s="599"/>
      <c r="K6" s="598" t="s">
        <v>269</v>
      </c>
      <c r="L6" s="600"/>
      <c r="M6" s="600"/>
      <c r="N6" s="599"/>
      <c r="O6" s="598" t="s">
        <v>343</v>
      </c>
      <c r="P6" s="600"/>
      <c r="Q6" s="599"/>
      <c r="R6" s="586" t="s">
        <v>273</v>
      </c>
      <c r="S6" s="586" t="s">
        <v>344</v>
      </c>
      <c r="T6" s="573" t="s">
        <v>275</v>
      </c>
    </row>
    <row r="7" spans="1:20" ht="48" thickBot="1" x14ac:dyDescent="0.3">
      <c r="A7" s="597"/>
      <c r="B7" s="587"/>
      <c r="C7" s="587"/>
      <c r="D7" s="587"/>
      <c r="E7" s="134" t="s">
        <v>345</v>
      </c>
      <c r="F7" s="135" t="s">
        <v>276</v>
      </c>
      <c r="G7" s="134" t="s">
        <v>264</v>
      </c>
      <c r="H7" s="135" t="s">
        <v>276</v>
      </c>
      <c r="I7" s="136" t="s">
        <v>346</v>
      </c>
      <c r="J7" s="137" t="s">
        <v>347</v>
      </c>
      <c r="K7" s="133" t="s">
        <v>264</v>
      </c>
      <c r="L7" s="134" t="s">
        <v>272</v>
      </c>
      <c r="M7" s="135" t="s">
        <v>277</v>
      </c>
      <c r="N7" s="135" t="s">
        <v>348</v>
      </c>
      <c r="O7" s="134" t="s">
        <v>264</v>
      </c>
      <c r="P7" s="135" t="s">
        <v>349</v>
      </c>
      <c r="Q7" s="134" t="s">
        <v>350</v>
      </c>
      <c r="R7" s="587"/>
      <c r="S7" s="587"/>
      <c r="T7" s="574"/>
    </row>
    <row r="8" spans="1:20" ht="16.5" thickTop="1" thickBot="1" x14ac:dyDescent="0.3">
      <c r="A8" s="138">
        <v>1</v>
      </c>
      <c r="B8" s="139">
        <v>2</v>
      </c>
      <c r="C8" s="139">
        <v>3</v>
      </c>
      <c r="D8" s="139">
        <v>4</v>
      </c>
      <c r="E8" s="140">
        <v>5</v>
      </c>
      <c r="F8" s="139">
        <v>6</v>
      </c>
      <c r="G8" s="139">
        <v>7</v>
      </c>
      <c r="H8" s="139">
        <v>8</v>
      </c>
      <c r="I8" s="140">
        <v>9</v>
      </c>
      <c r="J8" s="139">
        <v>10</v>
      </c>
      <c r="K8" s="139">
        <v>11</v>
      </c>
      <c r="L8" s="139">
        <v>12</v>
      </c>
      <c r="M8" s="140">
        <v>13</v>
      </c>
      <c r="N8" s="139">
        <v>14</v>
      </c>
      <c r="O8" s="139">
        <v>15</v>
      </c>
      <c r="P8" s="139">
        <v>16</v>
      </c>
      <c r="Q8" s="140">
        <v>17</v>
      </c>
      <c r="R8" s="139">
        <v>18</v>
      </c>
      <c r="S8" s="139">
        <v>19</v>
      </c>
      <c r="T8" s="141">
        <v>20</v>
      </c>
    </row>
    <row r="9" spans="1:20" ht="15.75" thickTop="1" x14ac:dyDescent="0.25">
      <c r="A9" s="591">
        <v>1</v>
      </c>
      <c r="B9" s="592" t="s">
        <v>113</v>
      </c>
      <c r="C9" s="588" t="s">
        <v>279</v>
      </c>
      <c r="D9" s="142" t="s">
        <v>34</v>
      </c>
      <c r="E9" s="143" t="s">
        <v>34</v>
      </c>
      <c r="F9" s="144" t="s">
        <v>34</v>
      </c>
      <c r="G9" s="588" t="s">
        <v>329</v>
      </c>
      <c r="H9" s="593">
        <v>45383</v>
      </c>
      <c r="I9" s="594">
        <v>1</v>
      </c>
      <c r="J9" s="594">
        <v>4</v>
      </c>
      <c r="K9" s="142" t="s">
        <v>34</v>
      </c>
      <c r="L9" s="142" t="s">
        <v>34</v>
      </c>
      <c r="M9" s="142" t="s">
        <v>34</v>
      </c>
      <c r="N9" s="142" t="s">
        <v>34</v>
      </c>
      <c r="O9" s="595" t="s">
        <v>351</v>
      </c>
      <c r="P9" s="588">
        <v>2021</v>
      </c>
      <c r="Q9" s="588" t="s">
        <v>296</v>
      </c>
      <c r="R9" s="590">
        <v>34885</v>
      </c>
      <c r="S9" s="588"/>
      <c r="T9" s="575"/>
    </row>
    <row r="10" spans="1:20" x14ac:dyDescent="0.25">
      <c r="A10" s="577"/>
      <c r="B10" s="578"/>
      <c r="C10" s="564"/>
      <c r="D10" s="145" t="s">
        <v>34</v>
      </c>
      <c r="E10" s="145" t="s">
        <v>34</v>
      </c>
      <c r="F10" s="145" t="s">
        <v>34</v>
      </c>
      <c r="G10" s="564"/>
      <c r="H10" s="583"/>
      <c r="I10" s="581"/>
      <c r="J10" s="581"/>
      <c r="K10" s="145" t="s">
        <v>34</v>
      </c>
      <c r="L10" s="145" t="s">
        <v>34</v>
      </c>
      <c r="M10" s="145" t="s">
        <v>34</v>
      </c>
      <c r="N10" s="145" t="s">
        <v>34</v>
      </c>
      <c r="O10" s="563"/>
      <c r="P10" s="564"/>
      <c r="Q10" s="589"/>
      <c r="R10" s="579"/>
      <c r="S10" s="564"/>
      <c r="T10" s="554"/>
    </row>
    <row r="11" spans="1:20" x14ac:dyDescent="0.25">
      <c r="A11" s="555">
        <v>2</v>
      </c>
      <c r="B11" s="469" t="s">
        <v>115</v>
      </c>
      <c r="C11" s="449" t="s">
        <v>295</v>
      </c>
      <c r="D11" s="145" t="s">
        <v>34</v>
      </c>
      <c r="E11" s="145" t="s">
        <v>34</v>
      </c>
      <c r="F11" s="145" t="s">
        <v>34</v>
      </c>
      <c r="G11" s="549" t="s">
        <v>329</v>
      </c>
      <c r="H11" s="584" t="s">
        <v>352</v>
      </c>
      <c r="I11" s="580">
        <v>0</v>
      </c>
      <c r="J11" s="580">
        <v>5</v>
      </c>
      <c r="K11" s="145" t="s">
        <v>34</v>
      </c>
      <c r="L11" s="145" t="s">
        <v>34</v>
      </c>
      <c r="M11" s="145" t="s">
        <v>34</v>
      </c>
      <c r="N11" s="145" t="s">
        <v>34</v>
      </c>
      <c r="O11" s="562" t="s">
        <v>353</v>
      </c>
      <c r="P11" s="549">
        <v>2024</v>
      </c>
      <c r="Q11" s="585" t="s">
        <v>296</v>
      </c>
      <c r="R11" s="582">
        <v>37520</v>
      </c>
      <c r="S11" s="549"/>
      <c r="T11" s="553"/>
    </row>
    <row r="12" spans="1:20" x14ac:dyDescent="0.25">
      <c r="A12" s="577"/>
      <c r="B12" s="470"/>
      <c r="C12" s="450"/>
      <c r="D12" s="145" t="s">
        <v>34</v>
      </c>
      <c r="E12" s="145" t="s">
        <v>34</v>
      </c>
      <c r="F12" s="145" t="s">
        <v>34</v>
      </c>
      <c r="G12" s="564"/>
      <c r="H12" s="565"/>
      <c r="I12" s="581"/>
      <c r="J12" s="581"/>
      <c r="K12" s="145" t="s">
        <v>34</v>
      </c>
      <c r="L12" s="145" t="s">
        <v>34</v>
      </c>
      <c r="M12" s="145" t="s">
        <v>34</v>
      </c>
      <c r="N12" s="145" t="s">
        <v>34</v>
      </c>
      <c r="O12" s="563"/>
      <c r="P12" s="564"/>
      <c r="Q12" s="585"/>
      <c r="R12" s="583"/>
      <c r="S12" s="564"/>
      <c r="T12" s="554"/>
    </row>
    <row r="13" spans="1:20" x14ac:dyDescent="0.25">
      <c r="A13" s="555">
        <v>5</v>
      </c>
      <c r="B13" s="557" t="s">
        <v>117</v>
      </c>
      <c r="C13" s="449" t="s">
        <v>279</v>
      </c>
      <c r="D13" s="142" t="s">
        <v>34</v>
      </c>
      <c r="E13" s="143" t="s">
        <v>34</v>
      </c>
      <c r="F13" s="144" t="s">
        <v>34</v>
      </c>
      <c r="G13" s="562" t="s">
        <v>354</v>
      </c>
      <c r="H13" s="551">
        <v>39846</v>
      </c>
      <c r="I13" s="445">
        <v>16</v>
      </c>
      <c r="J13" s="580">
        <v>1</v>
      </c>
      <c r="K13" s="145" t="s">
        <v>34</v>
      </c>
      <c r="L13" s="145" t="s">
        <v>34</v>
      </c>
      <c r="M13" s="145" t="s">
        <v>34</v>
      </c>
      <c r="N13" s="145" t="s">
        <v>34</v>
      </c>
      <c r="O13" s="562" t="s">
        <v>330</v>
      </c>
      <c r="P13" s="549">
        <v>2014</v>
      </c>
      <c r="Q13" s="549" t="s">
        <v>330</v>
      </c>
      <c r="R13" s="551">
        <v>29020</v>
      </c>
      <c r="S13" s="549"/>
      <c r="T13" s="553"/>
    </row>
    <row r="14" spans="1:20" x14ac:dyDescent="0.25">
      <c r="A14" s="577"/>
      <c r="B14" s="578"/>
      <c r="C14" s="450"/>
      <c r="D14" s="145" t="s">
        <v>34</v>
      </c>
      <c r="E14" s="145" t="s">
        <v>34</v>
      </c>
      <c r="F14" s="145" t="s">
        <v>34</v>
      </c>
      <c r="G14" s="563"/>
      <c r="H14" s="565"/>
      <c r="I14" s="446"/>
      <c r="J14" s="581"/>
      <c r="K14" s="145" t="s">
        <v>34</v>
      </c>
      <c r="L14" s="145" t="s">
        <v>34</v>
      </c>
      <c r="M14" s="145" t="s">
        <v>34</v>
      </c>
      <c r="N14" s="145" t="s">
        <v>34</v>
      </c>
      <c r="O14" s="563"/>
      <c r="P14" s="564"/>
      <c r="Q14" s="564"/>
      <c r="R14" s="579"/>
      <c r="S14" s="564"/>
      <c r="T14" s="554"/>
    </row>
    <row r="15" spans="1:20" x14ac:dyDescent="0.25">
      <c r="A15" s="555">
        <v>4</v>
      </c>
      <c r="B15" s="557" t="s">
        <v>122</v>
      </c>
      <c r="C15" s="449" t="s">
        <v>279</v>
      </c>
      <c r="D15" s="145" t="s">
        <v>34</v>
      </c>
      <c r="E15" s="145" t="s">
        <v>34</v>
      </c>
      <c r="F15" s="145" t="s">
        <v>34</v>
      </c>
      <c r="G15" s="549" t="s">
        <v>329</v>
      </c>
      <c r="H15" s="551">
        <v>44013</v>
      </c>
      <c r="I15" s="580">
        <v>4</v>
      </c>
      <c r="J15" s="445">
        <v>10</v>
      </c>
      <c r="K15" s="145" t="s">
        <v>34</v>
      </c>
      <c r="L15" s="145" t="s">
        <v>34</v>
      </c>
      <c r="M15" s="145" t="s">
        <v>34</v>
      </c>
      <c r="N15" s="145" t="s">
        <v>34</v>
      </c>
      <c r="O15" s="562" t="s">
        <v>355</v>
      </c>
      <c r="P15" s="549">
        <v>1983</v>
      </c>
      <c r="Q15" s="549" t="s">
        <v>333</v>
      </c>
      <c r="R15" s="551">
        <v>22991</v>
      </c>
      <c r="S15" s="549"/>
      <c r="T15" s="553"/>
    </row>
    <row r="16" spans="1:20" x14ac:dyDescent="0.25">
      <c r="A16" s="577"/>
      <c r="B16" s="578"/>
      <c r="C16" s="450"/>
      <c r="D16" s="145" t="s">
        <v>34</v>
      </c>
      <c r="E16" s="145" t="s">
        <v>34</v>
      </c>
      <c r="F16" s="145" t="s">
        <v>34</v>
      </c>
      <c r="G16" s="564"/>
      <c r="H16" s="579"/>
      <c r="I16" s="581"/>
      <c r="J16" s="446"/>
      <c r="K16" s="145" t="s">
        <v>34</v>
      </c>
      <c r="L16" s="145" t="s">
        <v>34</v>
      </c>
      <c r="M16" s="145" t="s">
        <v>34</v>
      </c>
      <c r="N16" s="145" t="s">
        <v>34</v>
      </c>
      <c r="O16" s="563"/>
      <c r="P16" s="564"/>
      <c r="Q16" s="564"/>
      <c r="R16" s="565"/>
      <c r="S16" s="564"/>
      <c r="T16" s="554"/>
    </row>
    <row r="17" spans="1:20" x14ac:dyDescent="0.25">
      <c r="A17" s="555">
        <v>6</v>
      </c>
      <c r="B17" s="506" t="s">
        <v>120</v>
      </c>
      <c r="C17" s="449" t="s">
        <v>279</v>
      </c>
      <c r="D17" s="145" t="s">
        <v>34</v>
      </c>
      <c r="E17" s="145" t="s">
        <v>34</v>
      </c>
      <c r="F17" s="145" t="s">
        <v>34</v>
      </c>
      <c r="G17" s="562" t="s">
        <v>329</v>
      </c>
      <c r="H17" s="451">
        <v>44744</v>
      </c>
      <c r="I17" s="445">
        <v>3</v>
      </c>
      <c r="J17" s="445">
        <v>1</v>
      </c>
      <c r="K17" s="145" t="s">
        <v>34</v>
      </c>
      <c r="L17" s="145" t="s">
        <v>34</v>
      </c>
      <c r="M17" s="145" t="s">
        <v>34</v>
      </c>
      <c r="N17" s="145" t="s">
        <v>34</v>
      </c>
      <c r="O17" s="562" t="s">
        <v>330</v>
      </c>
      <c r="P17" s="549">
        <v>1983</v>
      </c>
      <c r="Q17" s="549" t="s">
        <v>330</v>
      </c>
      <c r="R17" s="551">
        <v>22811</v>
      </c>
      <c r="S17" s="549"/>
      <c r="T17" s="553"/>
    </row>
    <row r="18" spans="1:20" x14ac:dyDescent="0.25">
      <c r="A18" s="577"/>
      <c r="B18" s="507"/>
      <c r="C18" s="450"/>
      <c r="D18" s="145" t="s">
        <v>34</v>
      </c>
      <c r="E18" s="145" t="s">
        <v>34</v>
      </c>
      <c r="F18" s="145" t="s">
        <v>34</v>
      </c>
      <c r="G18" s="563"/>
      <c r="H18" s="452"/>
      <c r="I18" s="446"/>
      <c r="J18" s="446"/>
      <c r="K18" s="145" t="s">
        <v>34</v>
      </c>
      <c r="L18" s="145" t="s">
        <v>34</v>
      </c>
      <c r="M18" s="145" t="s">
        <v>34</v>
      </c>
      <c r="N18" s="145" t="s">
        <v>34</v>
      </c>
      <c r="O18" s="563"/>
      <c r="P18" s="564"/>
      <c r="Q18" s="564"/>
      <c r="R18" s="565"/>
      <c r="S18" s="564"/>
      <c r="T18" s="554"/>
    </row>
    <row r="19" spans="1:20" x14ac:dyDescent="0.25">
      <c r="A19" s="555">
        <v>7</v>
      </c>
      <c r="B19" s="557" t="s">
        <v>124</v>
      </c>
      <c r="C19" s="449" t="s">
        <v>279</v>
      </c>
      <c r="D19" s="145" t="s">
        <v>34</v>
      </c>
      <c r="E19" s="145" t="s">
        <v>34</v>
      </c>
      <c r="F19" s="145" t="s">
        <v>34</v>
      </c>
      <c r="G19" s="559" t="s">
        <v>356</v>
      </c>
      <c r="H19" s="582">
        <v>34547</v>
      </c>
      <c r="I19" s="580">
        <v>31</v>
      </c>
      <c r="J19" s="445">
        <v>0</v>
      </c>
      <c r="K19" s="145" t="s">
        <v>34</v>
      </c>
      <c r="L19" s="145" t="s">
        <v>34</v>
      </c>
      <c r="M19" s="145" t="s">
        <v>34</v>
      </c>
      <c r="N19" s="145" t="s">
        <v>34</v>
      </c>
      <c r="O19" s="562" t="s">
        <v>336</v>
      </c>
      <c r="P19" s="549" t="s">
        <v>34</v>
      </c>
      <c r="Q19" s="549" t="s">
        <v>357</v>
      </c>
      <c r="R19" s="551">
        <v>17365</v>
      </c>
      <c r="S19" s="549"/>
      <c r="T19" s="553"/>
    </row>
    <row r="20" spans="1:20" x14ac:dyDescent="0.25">
      <c r="A20" s="577"/>
      <c r="B20" s="578"/>
      <c r="C20" s="450"/>
      <c r="D20" s="145" t="s">
        <v>34</v>
      </c>
      <c r="E20" s="145" t="s">
        <v>34</v>
      </c>
      <c r="F20" s="145" t="s">
        <v>34</v>
      </c>
      <c r="G20" s="563"/>
      <c r="H20" s="583"/>
      <c r="I20" s="581"/>
      <c r="J20" s="446"/>
      <c r="K20" s="145" t="s">
        <v>34</v>
      </c>
      <c r="L20" s="145" t="s">
        <v>34</v>
      </c>
      <c r="M20" s="145" t="s">
        <v>34</v>
      </c>
      <c r="N20" s="145" t="s">
        <v>34</v>
      </c>
      <c r="O20" s="563"/>
      <c r="P20" s="564"/>
      <c r="Q20" s="564"/>
      <c r="R20" s="565"/>
      <c r="S20" s="564"/>
      <c r="T20" s="554"/>
    </row>
    <row r="21" spans="1:20" x14ac:dyDescent="0.25">
      <c r="A21" s="555">
        <v>8</v>
      </c>
      <c r="B21" s="557" t="s">
        <v>335</v>
      </c>
      <c r="C21" s="449" t="s">
        <v>279</v>
      </c>
      <c r="D21" s="145" t="s">
        <v>34</v>
      </c>
      <c r="E21" s="145" t="s">
        <v>34</v>
      </c>
      <c r="F21" s="145" t="s">
        <v>34</v>
      </c>
      <c r="G21" s="559" t="s">
        <v>356</v>
      </c>
      <c r="H21" s="551">
        <v>42492</v>
      </c>
      <c r="I21" s="561">
        <v>9</v>
      </c>
      <c r="J21" s="561">
        <v>1</v>
      </c>
      <c r="K21" s="145" t="s">
        <v>34</v>
      </c>
      <c r="L21" s="145" t="s">
        <v>34</v>
      </c>
      <c r="M21" s="145" t="s">
        <v>34</v>
      </c>
      <c r="N21" s="145" t="s">
        <v>34</v>
      </c>
      <c r="O21" s="562" t="s">
        <v>330</v>
      </c>
      <c r="P21" s="549">
        <v>2008</v>
      </c>
      <c r="Q21" s="549" t="s">
        <v>330</v>
      </c>
      <c r="R21" s="551">
        <v>25730</v>
      </c>
      <c r="S21" s="549"/>
      <c r="T21" s="553"/>
    </row>
    <row r="22" spans="1:20" ht="15.75" thickBot="1" x14ac:dyDescent="0.3">
      <c r="A22" s="556"/>
      <c r="B22" s="558"/>
      <c r="C22" s="463"/>
      <c r="D22" s="146" t="s">
        <v>34</v>
      </c>
      <c r="E22" s="146" t="s">
        <v>34</v>
      </c>
      <c r="F22" s="146" t="s">
        <v>34</v>
      </c>
      <c r="G22" s="560"/>
      <c r="H22" s="552"/>
      <c r="I22" s="473"/>
      <c r="J22" s="473"/>
      <c r="K22" s="146" t="s">
        <v>34</v>
      </c>
      <c r="L22" s="146" t="s">
        <v>34</v>
      </c>
      <c r="M22" s="146" t="s">
        <v>34</v>
      </c>
      <c r="N22" s="146" t="s">
        <v>34</v>
      </c>
      <c r="O22" s="560"/>
      <c r="P22" s="550"/>
      <c r="Q22" s="550"/>
      <c r="R22" s="552"/>
      <c r="S22" s="550"/>
      <c r="T22" s="566"/>
    </row>
    <row r="23" spans="1:20" x14ac:dyDescent="0.2">
      <c r="A23" s="147"/>
      <c r="B23" s="147"/>
      <c r="C23" s="147"/>
      <c r="D23" s="147"/>
      <c r="E23" s="147"/>
      <c r="F23" s="148"/>
      <c r="G23" s="147"/>
      <c r="H23" s="147"/>
      <c r="I23" s="149"/>
      <c r="J23" s="149"/>
      <c r="K23" s="147"/>
      <c r="L23" s="147"/>
      <c r="M23" s="147"/>
      <c r="N23" s="147"/>
      <c r="O23" s="147"/>
      <c r="P23" s="147"/>
      <c r="Q23" s="147"/>
      <c r="R23" s="147"/>
      <c r="S23" s="147"/>
      <c r="T23" s="147"/>
    </row>
    <row r="24" spans="1:20" ht="15.75" x14ac:dyDescent="0.25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30"/>
      <c r="P24" s="147"/>
      <c r="Q24" s="440" t="str">
        <f>GURU!R35</f>
        <v>Karangtengah, Agustus 2025</v>
      </c>
      <c r="R24" s="440"/>
      <c r="S24" s="147"/>
      <c r="T24" s="147"/>
    </row>
    <row r="25" spans="1:20" ht="15.75" x14ac:dyDescent="0.25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30"/>
      <c r="P25" s="147"/>
      <c r="Q25" s="440" t="str">
        <f>GURU!R36</f>
        <v>Kepala SMP Negeri 2 Karangtengah</v>
      </c>
      <c r="R25" s="440"/>
      <c r="S25" s="147"/>
      <c r="T25" s="147"/>
    </row>
    <row r="26" spans="1:20" ht="15.75" x14ac:dyDescent="0.25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30"/>
      <c r="P26" s="147"/>
      <c r="Q26" s="440"/>
      <c r="R26" s="440"/>
      <c r="S26" s="147"/>
      <c r="T26" s="147"/>
    </row>
    <row r="27" spans="1:20" ht="15.75" x14ac:dyDescent="0.25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30"/>
      <c r="P27" s="147"/>
      <c r="Q27" s="440"/>
      <c r="R27" s="440"/>
      <c r="S27" s="147"/>
      <c r="T27" s="147"/>
    </row>
    <row r="28" spans="1:20" ht="15.75" x14ac:dyDescent="0.25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30"/>
      <c r="P28" s="147"/>
      <c r="Q28" s="440"/>
      <c r="R28" s="440"/>
      <c r="S28" s="147"/>
      <c r="T28" s="147"/>
    </row>
    <row r="29" spans="1:20" ht="15.75" x14ac:dyDescent="0.25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30"/>
      <c r="P29" s="147"/>
      <c r="Q29" s="545" t="str">
        <f>GURU!R40</f>
        <v>Priyantono, S.Pd., M.Pd.</v>
      </c>
      <c r="R29" s="545"/>
      <c r="S29" s="147"/>
      <c r="T29" s="147"/>
    </row>
    <row r="30" spans="1:20" x14ac:dyDescent="0.25">
      <c r="Q30" s="440" t="str">
        <f>GURU!R41</f>
        <v>Pembina Utama Muda, IV/c</v>
      </c>
      <c r="R30" s="440"/>
    </row>
    <row r="31" spans="1:20" x14ac:dyDescent="0.25">
      <c r="Q31" s="402" t="str">
        <f>GURU!R42</f>
        <v>NIP. 196902251994031005</v>
      </c>
      <c r="R31" s="402"/>
    </row>
  </sheetData>
  <mergeCells count="116">
    <mergeCell ref="A4:R4"/>
    <mergeCell ref="A6:A7"/>
    <mergeCell ref="B6:B7"/>
    <mergeCell ref="C6:C7"/>
    <mergeCell ref="D6:D7"/>
    <mergeCell ref="E6:F6"/>
    <mergeCell ref="G6:H6"/>
    <mergeCell ref="I6:J6"/>
    <mergeCell ref="K6:N6"/>
    <mergeCell ref="O6:Q6"/>
    <mergeCell ref="R6:R7"/>
    <mergeCell ref="S6:S7"/>
    <mergeCell ref="Q9:Q10"/>
    <mergeCell ref="R9:R10"/>
    <mergeCell ref="S9:S10"/>
    <mergeCell ref="A9:A10"/>
    <mergeCell ref="B9:B10"/>
    <mergeCell ref="C9:C10"/>
    <mergeCell ref="G9:G10"/>
    <mergeCell ref="H9:H10"/>
    <mergeCell ref="I9:I10"/>
    <mergeCell ref="J9:J10"/>
    <mergeCell ref="O9:O10"/>
    <mergeCell ref="P9:P10"/>
    <mergeCell ref="A11:A12"/>
    <mergeCell ref="B11:B12"/>
    <mergeCell ref="C11:C12"/>
    <mergeCell ref="G11:G12"/>
    <mergeCell ref="H11:H12"/>
    <mergeCell ref="I11:I12"/>
    <mergeCell ref="T11:T12"/>
    <mergeCell ref="A13:A14"/>
    <mergeCell ref="B13:B14"/>
    <mergeCell ref="C13:C14"/>
    <mergeCell ref="G13:G14"/>
    <mergeCell ref="H13:H14"/>
    <mergeCell ref="I13:I14"/>
    <mergeCell ref="J13:J14"/>
    <mergeCell ref="O13:O14"/>
    <mergeCell ref="P13:P14"/>
    <mergeCell ref="J11:J12"/>
    <mergeCell ref="O11:O12"/>
    <mergeCell ref="P11:P12"/>
    <mergeCell ref="Q11:Q12"/>
    <mergeCell ref="R11:R12"/>
    <mergeCell ref="S11:S12"/>
    <mergeCell ref="Q13:Q14"/>
    <mergeCell ref="R13:R14"/>
    <mergeCell ref="A15:A16"/>
    <mergeCell ref="B15:B16"/>
    <mergeCell ref="C15:C16"/>
    <mergeCell ref="G15:G16"/>
    <mergeCell ref="H15:H16"/>
    <mergeCell ref="I15:I16"/>
    <mergeCell ref="A19:A20"/>
    <mergeCell ref="B19:B20"/>
    <mergeCell ref="C19:C20"/>
    <mergeCell ref="G19:G20"/>
    <mergeCell ref="H19:H20"/>
    <mergeCell ref="I19:I20"/>
    <mergeCell ref="A17:A18"/>
    <mergeCell ref="B17:B18"/>
    <mergeCell ref="C17:C18"/>
    <mergeCell ref="G17:G18"/>
    <mergeCell ref="H17:H18"/>
    <mergeCell ref="I17:I18"/>
    <mergeCell ref="J15:J16"/>
    <mergeCell ref="O15:O16"/>
    <mergeCell ref="P15:P16"/>
    <mergeCell ref="Q15:Q16"/>
    <mergeCell ref="R15:R16"/>
    <mergeCell ref="S15:S16"/>
    <mergeCell ref="S21:S22"/>
    <mergeCell ref="T21:T22"/>
    <mergeCell ref="S1:T4"/>
    <mergeCell ref="Q17:Q18"/>
    <mergeCell ref="R17:R18"/>
    <mergeCell ref="S17:S18"/>
    <mergeCell ref="T17:T18"/>
    <mergeCell ref="S13:S14"/>
    <mergeCell ref="T13:T14"/>
    <mergeCell ref="T15:T16"/>
    <mergeCell ref="J17:J18"/>
    <mergeCell ref="O17:O18"/>
    <mergeCell ref="P17:P18"/>
    <mergeCell ref="T6:T7"/>
    <mergeCell ref="T9:T10"/>
    <mergeCell ref="A1:R1"/>
    <mergeCell ref="A2:R2"/>
    <mergeCell ref="A3:R3"/>
    <mergeCell ref="T19:T20"/>
    <mergeCell ref="A21:A22"/>
    <mergeCell ref="B21:B22"/>
    <mergeCell ref="C21:C22"/>
    <mergeCell ref="G21:G22"/>
    <mergeCell ref="H21:H22"/>
    <mergeCell ref="I21:I22"/>
    <mergeCell ref="J21:J22"/>
    <mergeCell ref="O21:O22"/>
    <mergeCell ref="P21:P22"/>
    <mergeCell ref="J19:J20"/>
    <mergeCell ref="O19:O20"/>
    <mergeCell ref="P19:P20"/>
    <mergeCell ref="Q19:Q20"/>
    <mergeCell ref="R19:R20"/>
    <mergeCell ref="S19:S20"/>
    <mergeCell ref="Q31:R31"/>
    <mergeCell ref="Q25:R25"/>
    <mergeCell ref="Q26:R26"/>
    <mergeCell ref="Q27:R27"/>
    <mergeCell ref="Q28:R28"/>
    <mergeCell ref="Q29:R29"/>
    <mergeCell ref="Q30:R30"/>
    <mergeCell ref="Q21:Q22"/>
    <mergeCell ref="R21:R22"/>
    <mergeCell ref="Q24:R24"/>
  </mergeCells>
  <printOptions horizontalCentered="1"/>
  <pageMargins left="3.937007874015748E-2" right="3.937007874015748E-2" top="3.937007874015748E-2" bottom="3.937007874015748E-2" header="3.937007874015748E-2" footer="3.937007874015748E-2"/>
  <pageSetup paperSize="20000" scale="61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2ADA-44C4-45AB-9384-83F8668471EF}">
  <dimension ref="A1:T46"/>
  <sheetViews>
    <sheetView view="pageBreakPreview" topLeftCell="A7" zoomScale="60" zoomScaleNormal="100" workbookViewId="0">
      <selection activeCell="B11" sqref="B11"/>
    </sheetView>
  </sheetViews>
  <sheetFormatPr defaultRowHeight="15" x14ac:dyDescent="0.25"/>
  <cols>
    <col min="1" max="1" width="12.42578125" bestFit="1" customWidth="1"/>
    <col min="2" max="2" width="23.5703125" customWidth="1"/>
    <col min="3" max="4" width="11.42578125" customWidth="1"/>
    <col min="19" max="19" width="15" customWidth="1"/>
  </cols>
  <sheetData>
    <row r="1" spans="1:20" ht="15.75" thickBot="1" x14ac:dyDescent="0.3">
      <c r="D1" s="158"/>
      <c r="E1" s="158"/>
      <c r="F1" s="158"/>
      <c r="G1" s="150"/>
      <c r="H1" s="305" t="s">
        <v>592</v>
      </c>
      <c r="I1" s="306"/>
      <c r="J1" s="306"/>
      <c r="K1" s="306"/>
      <c r="L1" s="306"/>
      <c r="M1" s="306"/>
      <c r="N1" s="150"/>
      <c r="O1" s="150"/>
      <c r="P1" s="130"/>
      <c r="Q1" s="632" t="s">
        <v>361</v>
      </c>
      <c r="R1" s="633"/>
    </row>
    <row r="2" spans="1:20" ht="15.75" thickBot="1" x14ac:dyDescent="0.3">
      <c r="B2" s="184" t="s">
        <v>358</v>
      </c>
      <c r="C2" s="185" t="s">
        <v>359</v>
      </c>
      <c r="D2" s="186" t="s">
        <v>360</v>
      </c>
      <c r="E2" s="158"/>
      <c r="F2" s="158"/>
      <c r="G2" s="150"/>
      <c r="H2" s="305" t="s">
        <v>363</v>
      </c>
      <c r="I2" s="306"/>
      <c r="J2" s="305" t="s">
        <v>364</v>
      </c>
      <c r="K2" s="306"/>
      <c r="L2" s="307"/>
      <c r="M2" s="306"/>
      <c r="N2" s="150"/>
      <c r="O2" s="150"/>
      <c r="P2" s="130"/>
      <c r="Q2" s="634"/>
      <c r="R2" s="635"/>
    </row>
    <row r="3" spans="1:20" ht="15.75" thickTop="1" x14ac:dyDescent="0.25">
      <c r="B3" s="181" t="s">
        <v>362</v>
      </c>
      <c r="C3" s="182">
        <v>117</v>
      </c>
      <c r="D3" s="183">
        <v>4</v>
      </c>
      <c r="E3" s="158"/>
      <c r="F3" s="158"/>
      <c r="G3" s="150"/>
      <c r="H3" s="305" t="s">
        <v>366</v>
      </c>
      <c r="I3" s="306"/>
      <c r="J3" s="305" t="s">
        <v>367</v>
      </c>
      <c r="K3" s="306"/>
      <c r="L3" s="307"/>
      <c r="M3" s="306"/>
      <c r="N3" s="150"/>
      <c r="O3" s="150"/>
      <c r="P3" s="130"/>
      <c r="Q3" s="634"/>
      <c r="R3" s="635"/>
    </row>
    <row r="4" spans="1:20" x14ac:dyDescent="0.25">
      <c r="B4" s="178" t="s">
        <v>365</v>
      </c>
      <c r="C4" s="156">
        <v>134</v>
      </c>
      <c r="D4" s="163">
        <v>4</v>
      </c>
      <c r="E4" s="158"/>
      <c r="F4" s="158"/>
      <c r="G4" s="150"/>
      <c r="H4" s="305" t="s">
        <v>368</v>
      </c>
      <c r="I4" s="306"/>
      <c r="J4" s="305" t="s">
        <v>369</v>
      </c>
      <c r="K4" s="306"/>
      <c r="L4" s="307"/>
      <c r="M4" s="306"/>
      <c r="N4" s="150"/>
      <c r="O4" s="150"/>
      <c r="P4" s="130"/>
      <c r="Q4" s="634"/>
      <c r="R4" s="635"/>
    </row>
    <row r="5" spans="1:20" ht="15.75" thickBot="1" x14ac:dyDescent="0.3">
      <c r="B5" s="178" t="s">
        <v>46</v>
      </c>
      <c r="C5" s="156">
        <v>116</v>
      </c>
      <c r="D5" s="163">
        <v>5</v>
      </c>
      <c r="E5" s="158"/>
      <c r="F5" s="158"/>
      <c r="G5" s="150"/>
      <c r="H5" s="305" t="s">
        <v>371</v>
      </c>
      <c r="I5" s="306"/>
      <c r="J5" s="305" t="s">
        <v>372</v>
      </c>
      <c r="K5" s="306"/>
      <c r="L5" s="307"/>
      <c r="M5" s="306"/>
      <c r="N5" s="150"/>
      <c r="O5" s="150"/>
      <c r="P5" s="130"/>
      <c r="Q5" s="636"/>
      <c r="R5" s="637"/>
    </row>
    <row r="6" spans="1:20" ht="15.75" thickBot="1" x14ac:dyDescent="0.3">
      <c r="A6" s="152"/>
      <c r="B6" s="175" t="s">
        <v>370</v>
      </c>
      <c r="C6" s="176">
        <f>SUM(C3:C5)</f>
        <v>367</v>
      </c>
      <c r="D6" s="177">
        <f>SUM(D3:D5)</f>
        <v>13</v>
      </c>
      <c r="E6" s="151"/>
      <c r="F6" s="151"/>
      <c r="G6" s="151"/>
      <c r="H6" s="150"/>
      <c r="I6" s="150"/>
      <c r="J6" s="150"/>
      <c r="K6" s="151"/>
      <c r="L6" s="150"/>
      <c r="M6" s="130"/>
      <c r="N6" s="130"/>
      <c r="O6" s="130"/>
      <c r="P6" s="130"/>
      <c r="Q6" s="130"/>
      <c r="R6" s="130"/>
      <c r="S6" s="130"/>
      <c r="T6" s="130"/>
    </row>
    <row r="7" spans="1:20" ht="15.75" thickBot="1" x14ac:dyDescent="0.25">
      <c r="A7" s="152"/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</row>
    <row r="8" spans="1:20" ht="15" customHeight="1" x14ac:dyDescent="0.25">
      <c r="A8" s="625" t="s">
        <v>8</v>
      </c>
      <c r="B8" s="627" t="s">
        <v>373</v>
      </c>
      <c r="C8" s="629" t="s">
        <v>370</v>
      </c>
      <c r="D8" s="630"/>
      <c r="E8" s="630"/>
      <c r="F8" s="631"/>
      <c r="G8" s="629" t="s">
        <v>374</v>
      </c>
      <c r="H8" s="630"/>
      <c r="I8" s="630"/>
      <c r="J8" s="631"/>
      <c r="K8" s="629" t="s">
        <v>375</v>
      </c>
      <c r="L8" s="630"/>
      <c r="M8" s="630"/>
      <c r="N8" s="631"/>
      <c r="O8" s="629" t="s">
        <v>370</v>
      </c>
      <c r="P8" s="630"/>
      <c r="Q8" s="630"/>
      <c r="R8" s="631"/>
      <c r="S8" s="623" t="s">
        <v>376</v>
      </c>
      <c r="T8" s="169"/>
    </row>
    <row r="9" spans="1:20" ht="15.75" thickBot="1" x14ac:dyDescent="0.3">
      <c r="A9" s="626"/>
      <c r="B9" s="628"/>
      <c r="C9" s="641" t="s">
        <v>22</v>
      </c>
      <c r="D9" s="642"/>
      <c r="E9" s="642"/>
      <c r="F9" s="643"/>
      <c r="G9" s="641" t="s">
        <v>377</v>
      </c>
      <c r="H9" s="642"/>
      <c r="I9" s="642"/>
      <c r="J9" s="643"/>
      <c r="K9" s="641" t="s">
        <v>378</v>
      </c>
      <c r="L9" s="643"/>
      <c r="M9" s="641" t="s">
        <v>379</v>
      </c>
      <c r="N9" s="643"/>
      <c r="O9" s="641" t="s">
        <v>380</v>
      </c>
      <c r="P9" s="643"/>
      <c r="Q9" s="641" t="s">
        <v>381</v>
      </c>
      <c r="R9" s="643"/>
      <c r="S9" s="624"/>
      <c r="T9" s="169"/>
    </row>
    <row r="10" spans="1:20" ht="16.5" thickTop="1" thickBot="1" x14ac:dyDescent="0.25">
      <c r="A10" s="179">
        <v>1</v>
      </c>
      <c r="B10" s="180">
        <v>2</v>
      </c>
      <c r="C10" s="638">
        <v>3</v>
      </c>
      <c r="D10" s="639"/>
      <c r="E10" s="639"/>
      <c r="F10" s="640"/>
      <c r="G10" s="638">
        <v>4</v>
      </c>
      <c r="H10" s="639"/>
      <c r="I10" s="639"/>
      <c r="J10" s="640"/>
      <c r="K10" s="638">
        <v>5</v>
      </c>
      <c r="L10" s="640"/>
      <c r="M10" s="638">
        <v>6</v>
      </c>
      <c r="N10" s="640"/>
      <c r="O10" s="638">
        <v>7</v>
      </c>
      <c r="P10" s="640"/>
      <c r="Q10" s="638">
        <v>8</v>
      </c>
      <c r="R10" s="640"/>
      <c r="S10" s="194">
        <v>9</v>
      </c>
      <c r="T10" s="170"/>
    </row>
    <row r="11" spans="1:20" ht="43.5" thickTop="1" x14ac:dyDescent="0.25">
      <c r="A11" s="153">
        <v>1</v>
      </c>
      <c r="B11" s="182" t="s">
        <v>420</v>
      </c>
      <c r="C11" s="621">
        <f>GURU!S12</f>
        <v>3.2083333333333335</v>
      </c>
      <c r="D11" s="622"/>
      <c r="E11" s="622"/>
      <c r="F11" s="622"/>
      <c r="G11" s="622">
        <v>1</v>
      </c>
      <c r="H11" s="622"/>
      <c r="I11" s="622"/>
      <c r="J11" s="622"/>
      <c r="K11" s="622"/>
      <c r="L11" s="622"/>
      <c r="M11" s="622"/>
      <c r="N11" s="622"/>
      <c r="O11" s="622"/>
      <c r="P11" s="622"/>
      <c r="Q11" s="622"/>
      <c r="R11" s="622"/>
      <c r="S11" s="168"/>
      <c r="T11" s="171"/>
    </row>
    <row r="12" spans="1:20" ht="30" x14ac:dyDescent="0.25">
      <c r="A12" s="154">
        <v>6</v>
      </c>
      <c r="B12" s="155" t="s">
        <v>305</v>
      </c>
      <c r="C12" s="619">
        <f>GURU!S14</f>
        <v>2.875</v>
      </c>
      <c r="D12" s="620"/>
      <c r="E12" s="620"/>
      <c r="F12" s="620"/>
      <c r="G12" s="620">
        <v>2</v>
      </c>
      <c r="H12" s="620"/>
      <c r="I12" s="620"/>
      <c r="J12" s="620"/>
      <c r="K12" s="620">
        <v>1</v>
      </c>
      <c r="L12" s="620"/>
      <c r="M12" s="620"/>
      <c r="N12" s="620"/>
      <c r="O12" s="620"/>
      <c r="P12" s="620"/>
      <c r="Q12" s="620"/>
      <c r="R12" s="620"/>
      <c r="S12" s="165" t="s">
        <v>382</v>
      </c>
      <c r="T12" s="172"/>
    </row>
    <row r="13" spans="1:20" ht="30" x14ac:dyDescent="0.25">
      <c r="A13" s="154">
        <v>7</v>
      </c>
      <c r="B13" s="155" t="s">
        <v>383</v>
      </c>
      <c r="C13" s="619">
        <f>GURU!S32</f>
        <v>1.8333333333333333</v>
      </c>
      <c r="D13" s="620"/>
      <c r="E13" s="620"/>
      <c r="F13" s="620"/>
      <c r="G13" s="620">
        <v>1</v>
      </c>
      <c r="H13" s="620"/>
      <c r="I13" s="620"/>
      <c r="J13" s="620"/>
      <c r="K13" s="620">
        <v>1</v>
      </c>
      <c r="L13" s="620"/>
      <c r="M13" s="620"/>
      <c r="N13" s="620"/>
      <c r="O13" s="620"/>
      <c r="P13" s="620"/>
      <c r="Q13" s="620"/>
      <c r="R13" s="620"/>
      <c r="S13" s="165" t="s">
        <v>384</v>
      </c>
      <c r="T13" s="172"/>
    </row>
    <row r="14" spans="1:20" x14ac:dyDescent="0.25">
      <c r="A14" s="154">
        <v>12</v>
      </c>
      <c r="B14" s="156" t="s">
        <v>89</v>
      </c>
      <c r="C14" s="615">
        <f>GURU!S30</f>
        <v>1.875</v>
      </c>
      <c r="D14" s="616"/>
      <c r="E14" s="616"/>
      <c r="F14" s="616"/>
      <c r="G14" s="616">
        <v>1</v>
      </c>
      <c r="H14" s="616"/>
      <c r="I14" s="616"/>
      <c r="J14" s="616"/>
      <c r="K14" s="616">
        <v>1</v>
      </c>
      <c r="L14" s="616"/>
      <c r="M14" s="616"/>
      <c r="N14" s="616"/>
      <c r="O14" s="616">
        <v>1</v>
      </c>
      <c r="P14" s="616"/>
      <c r="Q14" s="616"/>
      <c r="R14" s="616"/>
      <c r="S14" s="164"/>
      <c r="T14" s="171"/>
    </row>
    <row r="15" spans="1:20" ht="30" customHeight="1" x14ac:dyDescent="0.25">
      <c r="A15" s="154">
        <v>13</v>
      </c>
      <c r="B15" s="155" t="s">
        <v>385</v>
      </c>
      <c r="C15" s="615">
        <f>GURU!S16</f>
        <v>2.625</v>
      </c>
      <c r="D15" s="616"/>
      <c r="E15" s="616"/>
      <c r="F15" s="616"/>
      <c r="G15" s="616">
        <v>3</v>
      </c>
      <c r="H15" s="616"/>
      <c r="I15" s="616"/>
      <c r="J15" s="616"/>
      <c r="K15" s="616"/>
      <c r="L15" s="616"/>
      <c r="M15" s="616"/>
      <c r="N15" s="616"/>
      <c r="O15" s="616"/>
      <c r="P15" s="616"/>
      <c r="Q15" s="616"/>
      <c r="R15" s="616"/>
      <c r="S15" s="164"/>
      <c r="T15" s="171"/>
    </row>
    <row r="16" spans="1:20" ht="30" customHeight="1" x14ac:dyDescent="0.25">
      <c r="A16" s="154">
        <v>14</v>
      </c>
      <c r="B16" s="155" t="s">
        <v>386</v>
      </c>
      <c r="C16" s="615">
        <f>GURU!S28</f>
        <v>1.9166666666666667</v>
      </c>
      <c r="D16" s="616"/>
      <c r="E16" s="616"/>
      <c r="F16" s="616"/>
      <c r="G16" s="616">
        <v>1</v>
      </c>
      <c r="H16" s="616"/>
      <c r="I16" s="616"/>
      <c r="J16" s="616"/>
      <c r="K16" s="616"/>
      <c r="L16" s="616"/>
      <c r="M16" s="616"/>
      <c r="N16" s="616"/>
      <c r="O16" s="616"/>
      <c r="P16" s="616"/>
      <c r="Q16" s="616"/>
      <c r="R16" s="616"/>
      <c r="S16" s="167"/>
      <c r="T16" s="173"/>
    </row>
    <row r="17" spans="1:20" ht="30" customHeight="1" x14ac:dyDescent="0.25">
      <c r="A17" s="154">
        <v>15</v>
      </c>
      <c r="B17" s="155" t="s">
        <v>387</v>
      </c>
      <c r="C17" s="615">
        <f>GURU!S19</f>
        <v>1.9583333333333333</v>
      </c>
      <c r="D17" s="616"/>
      <c r="E17" s="616"/>
      <c r="F17" s="616"/>
      <c r="G17" s="616">
        <v>2</v>
      </c>
      <c r="H17" s="616"/>
      <c r="I17" s="616"/>
      <c r="J17" s="616"/>
      <c r="K17" s="616"/>
      <c r="L17" s="616"/>
      <c r="M17" s="616"/>
      <c r="N17" s="616"/>
      <c r="O17" s="616"/>
      <c r="P17" s="616"/>
      <c r="Q17" s="616"/>
      <c r="R17" s="616"/>
      <c r="S17" s="164"/>
      <c r="T17" s="171"/>
    </row>
    <row r="18" spans="1:20" ht="30" customHeight="1" x14ac:dyDescent="0.25">
      <c r="A18" s="154">
        <v>17</v>
      </c>
      <c r="B18" s="155" t="s">
        <v>66</v>
      </c>
      <c r="C18" s="619">
        <f>GURU!S21</f>
        <v>1.875</v>
      </c>
      <c r="D18" s="620"/>
      <c r="E18" s="620"/>
      <c r="F18" s="620"/>
      <c r="G18" s="620">
        <v>1</v>
      </c>
      <c r="H18" s="620"/>
      <c r="I18" s="620"/>
      <c r="J18" s="620"/>
      <c r="K18" s="620">
        <v>1</v>
      </c>
      <c r="L18" s="620"/>
      <c r="M18" s="620"/>
      <c r="N18" s="620"/>
      <c r="O18" s="620">
        <v>1</v>
      </c>
      <c r="P18" s="620"/>
      <c r="Q18" s="620"/>
      <c r="R18" s="620"/>
      <c r="S18" s="165" t="s">
        <v>388</v>
      </c>
      <c r="T18" s="172"/>
    </row>
    <row r="19" spans="1:20" ht="30" customHeight="1" x14ac:dyDescent="0.25">
      <c r="A19" s="154">
        <v>18</v>
      </c>
      <c r="B19" s="155" t="s">
        <v>389</v>
      </c>
      <c r="C19" s="615">
        <f>GURU!S23</f>
        <v>2.0416666666666665</v>
      </c>
      <c r="D19" s="616"/>
      <c r="E19" s="616"/>
      <c r="F19" s="616"/>
      <c r="G19" s="616">
        <v>2</v>
      </c>
      <c r="H19" s="616"/>
      <c r="I19" s="616"/>
      <c r="J19" s="616"/>
      <c r="K19" s="616"/>
      <c r="L19" s="616"/>
      <c r="M19" s="616"/>
      <c r="N19" s="616"/>
      <c r="O19" s="616"/>
      <c r="P19" s="616"/>
      <c r="Q19" s="616"/>
      <c r="R19" s="616"/>
      <c r="S19" s="164"/>
      <c r="T19" s="171"/>
    </row>
    <row r="20" spans="1:20" ht="45" x14ac:dyDescent="0.25">
      <c r="A20" s="154">
        <v>22</v>
      </c>
      <c r="B20" s="155" t="s">
        <v>390</v>
      </c>
      <c r="C20" s="619">
        <f>GURU!S25</f>
        <v>2.8333333333333335</v>
      </c>
      <c r="D20" s="620"/>
      <c r="E20" s="620"/>
      <c r="F20" s="620"/>
      <c r="G20" s="620">
        <v>3</v>
      </c>
      <c r="H20" s="620"/>
      <c r="I20" s="620"/>
      <c r="J20" s="620"/>
      <c r="K20" s="620">
        <v>1</v>
      </c>
      <c r="L20" s="620"/>
      <c r="M20" s="620"/>
      <c r="N20" s="620"/>
      <c r="O20" s="620"/>
      <c r="P20" s="620"/>
      <c r="Q20" s="620"/>
      <c r="R20" s="620"/>
      <c r="S20" s="165" t="s">
        <v>391</v>
      </c>
      <c r="T20" s="172"/>
    </row>
    <row r="21" spans="1:20" ht="30" customHeight="1" x14ac:dyDescent="0.25">
      <c r="A21" s="154">
        <v>28</v>
      </c>
      <c r="B21" s="155" t="s">
        <v>392</v>
      </c>
      <c r="C21" s="617">
        <f>GURU!S29</f>
        <v>-1.625</v>
      </c>
      <c r="D21" s="618"/>
      <c r="E21" s="618"/>
      <c r="F21" s="618"/>
      <c r="G21" s="618"/>
      <c r="H21" s="618"/>
      <c r="I21" s="618"/>
      <c r="J21" s="618"/>
      <c r="K21" s="618"/>
      <c r="L21" s="618"/>
      <c r="M21" s="618"/>
      <c r="N21" s="618"/>
      <c r="O21" s="618"/>
      <c r="P21" s="618"/>
      <c r="Q21" s="618"/>
      <c r="R21" s="618"/>
      <c r="S21" s="166" t="s">
        <v>393</v>
      </c>
      <c r="T21" s="172"/>
    </row>
    <row r="22" spans="1:20" ht="30" customHeight="1" x14ac:dyDescent="0.25">
      <c r="A22" s="154">
        <v>30</v>
      </c>
      <c r="B22" s="155" t="s">
        <v>394</v>
      </c>
      <c r="C22" s="615">
        <f>GURU!S33</f>
        <v>1.8333333333333333</v>
      </c>
      <c r="D22" s="616"/>
      <c r="E22" s="616"/>
      <c r="F22" s="616"/>
      <c r="G22" s="616">
        <v>1</v>
      </c>
      <c r="H22" s="616"/>
      <c r="I22" s="616"/>
      <c r="J22" s="616"/>
      <c r="K22" s="616">
        <v>1</v>
      </c>
      <c r="L22" s="616"/>
      <c r="M22" s="616"/>
      <c r="N22" s="616"/>
      <c r="O22" s="616"/>
      <c r="P22" s="616"/>
      <c r="Q22" s="616"/>
      <c r="R22" s="616"/>
      <c r="S22" s="164"/>
      <c r="T22" s="171"/>
    </row>
    <row r="23" spans="1:20" ht="15.75" thickBot="1" x14ac:dyDescent="0.3">
      <c r="A23" s="609" t="s">
        <v>370</v>
      </c>
      <c r="B23" s="610"/>
      <c r="C23" s="611">
        <f>SUM(C11:F22)</f>
        <v>23.25</v>
      </c>
      <c r="D23" s="612"/>
      <c r="E23" s="612"/>
      <c r="F23" s="613"/>
      <c r="G23" s="603">
        <f>SUM(G11:J22)</f>
        <v>18</v>
      </c>
      <c r="H23" s="614"/>
      <c r="I23" s="614"/>
      <c r="J23" s="604"/>
      <c r="K23" s="603">
        <f>SUM(K11:L22)</f>
        <v>6</v>
      </c>
      <c r="L23" s="604"/>
      <c r="M23" s="603"/>
      <c r="N23" s="604"/>
      <c r="O23" s="603">
        <f>SUM(O11:P22)</f>
        <v>2</v>
      </c>
      <c r="P23" s="604"/>
      <c r="Q23" s="603">
        <f>SUM(Q11:Q22)</f>
        <v>0</v>
      </c>
      <c r="R23" s="604"/>
      <c r="S23" s="174"/>
      <c r="T23" s="171"/>
    </row>
    <row r="24" spans="1:20" ht="15.75" thickBot="1" x14ac:dyDescent="0.3">
      <c r="A24" s="157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8"/>
      <c r="Q24" s="157"/>
      <c r="R24" s="157"/>
      <c r="S24" s="157"/>
      <c r="T24" s="157"/>
    </row>
    <row r="25" spans="1:20" x14ac:dyDescent="0.25">
      <c r="A25" s="197" t="s">
        <v>396</v>
      </c>
      <c r="B25" s="605" t="s">
        <v>397</v>
      </c>
      <c r="C25" s="606"/>
      <c r="D25" s="606"/>
      <c r="E25" s="606"/>
      <c r="F25" s="607"/>
      <c r="G25" s="605" t="s">
        <v>398</v>
      </c>
      <c r="H25" s="606"/>
      <c r="I25" s="606"/>
      <c r="J25" s="607"/>
      <c r="K25" s="605" t="s">
        <v>399</v>
      </c>
      <c r="L25" s="606"/>
      <c r="M25" s="606"/>
      <c r="N25" s="607"/>
      <c r="O25" s="605" t="s">
        <v>400</v>
      </c>
      <c r="P25" s="606"/>
      <c r="Q25" s="606"/>
      <c r="R25" s="606"/>
      <c r="S25" s="608"/>
      <c r="T25" s="130"/>
    </row>
    <row r="26" spans="1:20" x14ac:dyDescent="0.25">
      <c r="A26" s="188" t="s">
        <v>401</v>
      </c>
      <c r="B26" s="159" t="s">
        <v>402</v>
      </c>
      <c r="C26" s="159" t="s">
        <v>403</v>
      </c>
      <c r="D26" s="159" t="s">
        <v>404</v>
      </c>
      <c r="E26" s="160" t="s">
        <v>405</v>
      </c>
      <c r="F26" s="159" t="s">
        <v>405</v>
      </c>
      <c r="G26" s="159" t="s">
        <v>402</v>
      </c>
      <c r="H26" s="159" t="s">
        <v>403</v>
      </c>
      <c r="I26" s="159" t="s">
        <v>404</v>
      </c>
      <c r="J26" s="159" t="s">
        <v>405</v>
      </c>
      <c r="K26" s="159" t="s">
        <v>402</v>
      </c>
      <c r="L26" s="159" t="s">
        <v>403</v>
      </c>
      <c r="M26" s="159" t="s">
        <v>404</v>
      </c>
      <c r="N26" s="159" t="s">
        <v>405</v>
      </c>
      <c r="O26" s="159" t="s">
        <v>402</v>
      </c>
      <c r="P26" s="159" t="s">
        <v>403</v>
      </c>
      <c r="Q26" s="159" t="s">
        <v>404</v>
      </c>
      <c r="R26" s="159" t="s">
        <v>405</v>
      </c>
      <c r="S26" s="189" t="s">
        <v>406</v>
      </c>
      <c r="T26" s="130"/>
    </row>
    <row r="27" spans="1:20" x14ac:dyDescent="0.25">
      <c r="A27" s="190" t="s">
        <v>593</v>
      </c>
      <c r="B27" s="161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4"/>
      <c r="T27" s="130"/>
    </row>
    <row r="28" spans="1:20" x14ac:dyDescent="0.25">
      <c r="A28" s="190" t="s">
        <v>407</v>
      </c>
      <c r="B28" s="161"/>
      <c r="C28" s="161"/>
      <c r="D28" s="161"/>
      <c r="E28" s="161"/>
      <c r="F28" s="161"/>
      <c r="G28" s="161"/>
      <c r="H28" s="161"/>
      <c r="I28" s="161"/>
      <c r="J28" s="161"/>
      <c r="K28" s="187"/>
      <c r="L28" s="161"/>
      <c r="M28" s="161"/>
      <c r="N28" s="161"/>
      <c r="O28" s="161"/>
      <c r="P28" s="161"/>
      <c r="Q28" s="161"/>
      <c r="R28" s="161"/>
      <c r="S28" s="164"/>
      <c r="T28" s="130"/>
    </row>
    <row r="29" spans="1:20" x14ac:dyDescent="0.25">
      <c r="A29" s="190" t="s">
        <v>408</v>
      </c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4"/>
      <c r="T29" s="130"/>
    </row>
    <row r="30" spans="1:20" ht="15.75" thickBot="1" x14ac:dyDescent="0.3">
      <c r="A30" s="191" t="s">
        <v>409</v>
      </c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  <c r="S30" s="193"/>
      <c r="T30" s="130"/>
    </row>
    <row r="31" spans="1:20" ht="15.75" thickBot="1" x14ac:dyDescent="0.3">
      <c r="A31" s="158"/>
      <c r="B31" s="187"/>
      <c r="C31" s="187"/>
      <c r="D31" s="187"/>
      <c r="E31" s="187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162"/>
    </row>
    <row r="32" spans="1:20" x14ac:dyDescent="0.25">
      <c r="A32" s="328" t="s">
        <v>410</v>
      </c>
      <c r="B32" s="329" t="s">
        <v>357</v>
      </c>
      <c r="C32" s="330" t="s">
        <v>134</v>
      </c>
      <c r="D32" s="329"/>
      <c r="E32" s="331">
        <v>1</v>
      </c>
      <c r="F32" s="329" t="s">
        <v>411</v>
      </c>
      <c r="G32" s="330" t="s">
        <v>134</v>
      </c>
      <c r="H32" s="329"/>
      <c r="I32" s="329" t="s">
        <v>34</v>
      </c>
      <c r="J32" s="329" t="s">
        <v>412</v>
      </c>
      <c r="K32" s="329"/>
      <c r="L32" s="329"/>
      <c r="M32" s="329"/>
      <c r="N32" s="331">
        <v>4</v>
      </c>
      <c r="O32" s="329" t="s">
        <v>413</v>
      </c>
      <c r="P32" s="329"/>
      <c r="Q32" s="329" t="s">
        <v>134</v>
      </c>
      <c r="R32" s="331">
        <v>4</v>
      </c>
      <c r="S32" s="332"/>
    </row>
    <row r="33" spans="1:20" x14ac:dyDescent="0.25">
      <c r="A33" s="190" t="s">
        <v>230</v>
      </c>
      <c r="B33" s="161" t="s">
        <v>602</v>
      </c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 t="s">
        <v>134</v>
      </c>
      <c r="O33" s="161" t="s">
        <v>603</v>
      </c>
      <c r="P33" s="161"/>
      <c r="Q33" s="161"/>
      <c r="R33" s="161"/>
      <c r="S33" s="164"/>
    </row>
    <row r="34" spans="1:20" ht="15.75" thickBot="1" x14ac:dyDescent="0.3">
      <c r="A34" s="191" t="s">
        <v>414</v>
      </c>
      <c r="B34" s="192" t="s">
        <v>602</v>
      </c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 t="s">
        <v>134</v>
      </c>
      <c r="O34" s="192" t="s">
        <v>603</v>
      </c>
      <c r="P34" s="192"/>
      <c r="Q34" s="192"/>
      <c r="R34" s="192"/>
      <c r="S34" s="193"/>
    </row>
    <row r="35" spans="1:20" x14ac:dyDescent="0.25">
      <c r="A35" s="157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</row>
    <row r="36" spans="1:20" x14ac:dyDescent="0.25">
      <c r="A36" s="157"/>
      <c r="B36" s="162" t="s">
        <v>415</v>
      </c>
      <c r="C36" s="162" t="s">
        <v>134</v>
      </c>
      <c r="D36" s="162" t="s">
        <v>416</v>
      </c>
      <c r="E36" s="130"/>
      <c r="F36" s="130"/>
      <c r="G36" s="130"/>
      <c r="H36" s="130"/>
      <c r="I36" s="130"/>
      <c r="J36" s="162"/>
      <c r="K36" s="130"/>
      <c r="L36" s="162"/>
      <c r="M36" s="162"/>
      <c r="N36" s="162"/>
      <c r="O36" s="162"/>
      <c r="P36" s="162"/>
      <c r="Q36" s="162"/>
      <c r="R36" s="162"/>
      <c r="S36" s="162"/>
      <c r="T36" s="162"/>
    </row>
    <row r="37" spans="1:20" x14ac:dyDescent="0.25">
      <c r="A37" s="157"/>
      <c r="B37" s="162"/>
      <c r="C37" s="162" t="s">
        <v>417</v>
      </c>
      <c r="D37" s="162" t="s">
        <v>418</v>
      </c>
      <c r="E37" s="130"/>
      <c r="F37" s="130"/>
      <c r="G37" s="130"/>
      <c r="H37" s="162"/>
      <c r="I37" s="162"/>
      <c r="J37" s="162"/>
      <c r="K37" s="130"/>
      <c r="L37" s="162"/>
      <c r="M37" s="162"/>
      <c r="N37" s="162"/>
      <c r="O37" s="162"/>
      <c r="P37" s="162"/>
      <c r="Q37" s="162"/>
      <c r="R37" s="162"/>
      <c r="S37" s="162"/>
      <c r="T37" s="162"/>
    </row>
    <row r="38" spans="1:20" x14ac:dyDescent="0.2">
      <c r="A38" s="157"/>
      <c r="B38" s="162"/>
      <c r="C38" s="162" t="s">
        <v>419</v>
      </c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601" t="str">
        <f>GURU!R35</f>
        <v>Karangtengah, Agustus 2025</v>
      </c>
      <c r="Q38" s="601"/>
      <c r="R38" s="601"/>
      <c r="S38" s="601"/>
      <c r="T38" s="150"/>
    </row>
    <row r="39" spans="1:20" x14ac:dyDescent="0.25">
      <c r="A39" s="157" t="s">
        <v>604</v>
      </c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62"/>
      <c r="M39" s="162"/>
      <c r="N39" s="162"/>
      <c r="O39" s="162"/>
      <c r="P39" s="601" t="str">
        <f>GURU!R36</f>
        <v>Kepala SMP Negeri 2 Karangtengah</v>
      </c>
      <c r="Q39" s="601"/>
      <c r="R39" s="601"/>
      <c r="S39" s="601"/>
      <c r="T39" s="150"/>
    </row>
    <row r="40" spans="1:20" x14ac:dyDescent="0.2">
      <c r="A40" s="152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601"/>
      <c r="Q40" s="601"/>
      <c r="R40" s="601"/>
      <c r="S40" s="150"/>
      <c r="T40" s="150"/>
    </row>
    <row r="41" spans="1:20" x14ac:dyDescent="0.2">
      <c r="A41" s="152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601"/>
      <c r="Q41" s="601"/>
      <c r="R41" s="601"/>
      <c r="S41" s="150"/>
      <c r="T41" s="150"/>
    </row>
    <row r="42" spans="1:20" x14ac:dyDescent="0.2">
      <c r="A42" s="152"/>
      <c r="B42" s="150"/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601"/>
      <c r="Q42" s="601"/>
      <c r="R42" s="601"/>
      <c r="S42" s="150"/>
      <c r="T42" s="150"/>
    </row>
    <row r="43" spans="1:20" x14ac:dyDescent="0.2">
      <c r="A43" s="152"/>
      <c r="B43" s="150"/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602" t="str">
        <f>GURU!R40</f>
        <v>Priyantono, S.Pd., M.Pd.</v>
      </c>
      <c r="Q43" s="602"/>
      <c r="R43" s="602"/>
      <c r="S43" s="602"/>
      <c r="T43" s="150"/>
    </row>
    <row r="44" spans="1:20" x14ac:dyDescent="0.2">
      <c r="A44" s="152"/>
      <c r="B44" s="150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601" t="str">
        <f>GURU!R41</f>
        <v>Pembina Utama Muda, IV/c</v>
      </c>
      <c r="Q44" s="601"/>
      <c r="R44" s="601"/>
      <c r="S44" s="601"/>
      <c r="T44" s="150"/>
    </row>
    <row r="45" spans="1:20" x14ac:dyDescent="0.25">
      <c r="A45" s="152"/>
      <c r="B45" s="150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601" t="str">
        <f>GURU!R42</f>
        <v>NIP. 196902251994031005</v>
      </c>
      <c r="Q45" s="601"/>
      <c r="R45" s="601"/>
      <c r="S45" s="601"/>
      <c r="T45" s="130"/>
    </row>
    <row r="46" spans="1:20" x14ac:dyDescent="0.25">
      <c r="A46" s="152"/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30"/>
      <c r="R46" s="130"/>
      <c r="S46" s="130"/>
      <c r="T46" s="130"/>
    </row>
  </sheetData>
  <mergeCells count="111">
    <mergeCell ref="S8:S9"/>
    <mergeCell ref="A8:A9"/>
    <mergeCell ref="B8:B9"/>
    <mergeCell ref="C8:F8"/>
    <mergeCell ref="G8:J8"/>
    <mergeCell ref="K8:N8"/>
    <mergeCell ref="O8:R8"/>
    <mergeCell ref="Q1:R5"/>
    <mergeCell ref="C10:F10"/>
    <mergeCell ref="G10:J10"/>
    <mergeCell ref="K10:L10"/>
    <mergeCell ref="M10:N10"/>
    <mergeCell ref="O10:P10"/>
    <mergeCell ref="Q10:R10"/>
    <mergeCell ref="C9:F9"/>
    <mergeCell ref="G9:J9"/>
    <mergeCell ref="K9:L9"/>
    <mergeCell ref="M9:N9"/>
    <mergeCell ref="O9:P9"/>
    <mergeCell ref="Q9:R9"/>
    <mergeCell ref="C12:F12"/>
    <mergeCell ref="G12:J12"/>
    <mergeCell ref="K12:L12"/>
    <mergeCell ref="M12:N12"/>
    <mergeCell ref="O12:P12"/>
    <mergeCell ref="Q12:R12"/>
    <mergeCell ref="C11:F11"/>
    <mergeCell ref="G11:J11"/>
    <mergeCell ref="K11:L11"/>
    <mergeCell ref="M11:N11"/>
    <mergeCell ref="O11:P11"/>
    <mergeCell ref="Q11:R11"/>
    <mergeCell ref="C14:F14"/>
    <mergeCell ref="G14:J14"/>
    <mergeCell ref="K14:L14"/>
    <mergeCell ref="M14:N14"/>
    <mergeCell ref="O14:P14"/>
    <mergeCell ref="Q14:R14"/>
    <mergeCell ref="C13:F13"/>
    <mergeCell ref="G13:J13"/>
    <mergeCell ref="K13:L13"/>
    <mergeCell ref="M13:N13"/>
    <mergeCell ref="O13:P13"/>
    <mergeCell ref="Q13:R13"/>
    <mergeCell ref="C16:F16"/>
    <mergeCell ref="G16:J16"/>
    <mergeCell ref="K16:L16"/>
    <mergeCell ref="M16:N16"/>
    <mergeCell ref="O16:P16"/>
    <mergeCell ref="Q16:R16"/>
    <mergeCell ref="C15:F15"/>
    <mergeCell ref="G15:J15"/>
    <mergeCell ref="K15:L15"/>
    <mergeCell ref="M15:N15"/>
    <mergeCell ref="O15:P15"/>
    <mergeCell ref="Q15:R15"/>
    <mergeCell ref="C18:F18"/>
    <mergeCell ref="G18:J18"/>
    <mergeCell ref="K18:L18"/>
    <mergeCell ref="M18:N18"/>
    <mergeCell ref="O18:P18"/>
    <mergeCell ref="Q18:R18"/>
    <mergeCell ref="C17:F17"/>
    <mergeCell ref="G17:J17"/>
    <mergeCell ref="K17:L17"/>
    <mergeCell ref="M17:N17"/>
    <mergeCell ref="O17:P17"/>
    <mergeCell ref="Q17:R17"/>
    <mergeCell ref="C20:F20"/>
    <mergeCell ref="G20:J20"/>
    <mergeCell ref="K20:L20"/>
    <mergeCell ref="M20:N20"/>
    <mergeCell ref="O20:P20"/>
    <mergeCell ref="Q20:R20"/>
    <mergeCell ref="C19:F19"/>
    <mergeCell ref="G19:J19"/>
    <mergeCell ref="K19:L19"/>
    <mergeCell ref="M19:N19"/>
    <mergeCell ref="O19:P19"/>
    <mergeCell ref="Q19:R19"/>
    <mergeCell ref="C22:F22"/>
    <mergeCell ref="G22:J22"/>
    <mergeCell ref="K22:L22"/>
    <mergeCell ref="M22:N22"/>
    <mergeCell ref="O22:P22"/>
    <mergeCell ref="Q22:R22"/>
    <mergeCell ref="C21:F21"/>
    <mergeCell ref="G21:J21"/>
    <mergeCell ref="K21:L21"/>
    <mergeCell ref="M21:N21"/>
    <mergeCell ref="O21:P21"/>
    <mergeCell ref="Q21:R21"/>
    <mergeCell ref="B25:F25"/>
    <mergeCell ref="G25:J25"/>
    <mergeCell ref="K25:N25"/>
    <mergeCell ref="O25:S25"/>
    <mergeCell ref="A23:B23"/>
    <mergeCell ref="C23:F23"/>
    <mergeCell ref="G23:J23"/>
    <mergeCell ref="K23:L23"/>
    <mergeCell ref="M23:N23"/>
    <mergeCell ref="O23:P23"/>
    <mergeCell ref="P39:S39"/>
    <mergeCell ref="P38:S38"/>
    <mergeCell ref="P43:S43"/>
    <mergeCell ref="P44:S44"/>
    <mergeCell ref="P45:S45"/>
    <mergeCell ref="P40:R40"/>
    <mergeCell ref="P41:R41"/>
    <mergeCell ref="P42:R42"/>
    <mergeCell ref="Q23:R23"/>
  </mergeCells>
  <printOptions horizontalCentered="1"/>
  <pageMargins left="3.937007874015748E-2" right="3.937007874015748E-2" top="3.937007874015748E-2" bottom="3.937007874015748E-2" header="3.937007874015748E-2" footer="3.937007874015748E-2"/>
  <pageSetup paperSize="20000" scale="6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7</vt:i4>
      </vt:variant>
    </vt:vector>
  </HeadingPairs>
  <TitlesOfParts>
    <vt:vector size="21" baseType="lpstr">
      <vt:lpstr>Kepala Sekolah</vt:lpstr>
      <vt:lpstr>PNS, CPNS, PPPK~Guru</vt:lpstr>
      <vt:lpstr>PNS~Pelaksana</vt:lpstr>
      <vt:lpstr>GTT</vt:lpstr>
      <vt:lpstr>PTT</vt:lpstr>
      <vt:lpstr>Kebutuhan Guru</vt:lpstr>
      <vt:lpstr>GURU</vt:lpstr>
      <vt:lpstr>TATA USAHA</vt:lpstr>
      <vt:lpstr>STRUKTUR PETA JABATAN</vt:lpstr>
      <vt:lpstr>PETA JABATAN</vt:lpstr>
      <vt:lpstr>PROYEKSI KEBUTUHAN PEGAWAI</vt:lpstr>
      <vt:lpstr>R7</vt:lpstr>
      <vt:lpstr>R8</vt:lpstr>
      <vt:lpstr>R10</vt:lpstr>
      <vt:lpstr>GURU!Print_Area</vt:lpstr>
      <vt:lpstr>'PNS, CPNS, PPPK~Guru'!Print_Area</vt:lpstr>
      <vt:lpstr>'PROYEKSI KEBUTUHAN PEGAWAI'!Print_Area</vt:lpstr>
      <vt:lpstr>'R10'!Print_Area</vt:lpstr>
      <vt:lpstr>'R7'!Print_Area</vt:lpstr>
      <vt:lpstr>'STRUKTUR PETA JABATAN'!Print_Area</vt:lpstr>
      <vt:lpstr>'TATA USAHA'!Print_Area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MUKHTAR</dc:creator>
  <cp:lastModifiedBy>s s</cp:lastModifiedBy>
  <cp:lastPrinted>2025-07-26T02:27:08Z</cp:lastPrinted>
  <dcterms:created xsi:type="dcterms:W3CDTF">2018-11-28T09:13:46Z</dcterms:created>
  <dcterms:modified xsi:type="dcterms:W3CDTF">2025-07-26T02:28:56Z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26d5186d0a194cdd825588bb6124f200</vt:lpwstr>
  </property>
</Properties>
</file>