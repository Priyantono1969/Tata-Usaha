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D:\Wildan\SURAT MENYURAT\"/>
    </mc:Choice>
  </mc:AlternateContent>
  <xr:revisionPtr revIDLastSave="0" documentId="13_ncr:1_{1717AF4C-5A31-4E91-B8CD-E91378A3D15F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Sheet1" sheetId="4" r:id="rId1"/>
    <sheet name="Sheet2" sheetId="5" r:id="rId2"/>
    <sheet name="Sheet3" sheetId="6" r:id="rId3"/>
    <sheet name="Sheet4" sheetId="7" r:id="rId4"/>
  </sheets>
  <definedNames>
    <definedName name="_Hlk173475416" localSheetId="0">Sheet1!$C$50</definedName>
    <definedName name="_xlnm.Print_Area" localSheetId="0">Sheet1!$B$1:$J$63</definedName>
    <definedName name="_xlnm.Print_Area" localSheetId="1">Sheet2!$B$1:$J$111</definedName>
    <definedName name="_xlnm.Print_Area" localSheetId="2">Sheet3!$B$1:$I$61</definedName>
    <definedName name="_xlnm.Print_Area" localSheetId="3">Sheet4!$B$1:$I$70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62" i="7" l="1"/>
  <c r="G55" i="7"/>
  <c r="G54" i="7"/>
  <c r="B55" i="7"/>
  <c r="B54" i="7"/>
  <c r="B93" i="5"/>
  <c r="B92" i="5"/>
  <c r="J93" i="5"/>
  <c r="I92" i="5"/>
  <c r="J77" i="5"/>
  <c r="G41" i="7" s="1"/>
  <c r="I76" i="5"/>
  <c r="G40" i="7" s="1"/>
  <c r="C77" i="5"/>
  <c r="B41" i="7" s="1"/>
  <c r="B76" i="5"/>
  <c r="B40" i="7" s="1"/>
  <c r="H44" i="5"/>
  <c r="H43" i="5"/>
  <c r="H41" i="5"/>
  <c r="H42" i="5"/>
  <c r="H40" i="5"/>
  <c r="H39" i="5"/>
  <c r="H38" i="5"/>
  <c r="H37" i="5"/>
  <c r="H36" i="5"/>
  <c r="H35" i="5"/>
  <c r="H34" i="5"/>
  <c r="H33" i="5"/>
  <c r="H32" i="5"/>
  <c r="H31" i="5"/>
  <c r="H30" i="5"/>
  <c r="H29" i="5"/>
  <c r="H28" i="5"/>
  <c r="H27" i="5"/>
  <c r="H24" i="5"/>
  <c r="H23" i="5"/>
  <c r="H22" i="5"/>
  <c r="H21" i="5"/>
  <c r="H18" i="5"/>
  <c r="H17" i="5"/>
  <c r="H15" i="5"/>
  <c r="H14" i="5"/>
  <c r="H13" i="5"/>
  <c r="H15" i="6"/>
  <c r="G14" i="6"/>
  <c r="H13" i="6"/>
  <c r="C14" i="6"/>
  <c r="C101" i="5"/>
  <c r="B62" i="7" s="1"/>
  <c r="J85" i="5"/>
  <c r="G48" i="7" s="1"/>
  <c r="C85" i="5"/>
  <c r="B48" i="7" s="1"/>
  <c r="B100" i="5"/>
  <c r="B61" i="7" s="1"/>
  <c r="I100" i="5"/>
  <c r="G61" i="7" s="1"/>
  <c r="I84" i="5"/>
  <c r="G47" i="7" s="1"/>
  <c r="B84" i="5"/>
  <c r="B47" i="7" s="1"/>
  <c r="H26" i="5"/>
  <c r="H25" i="5"/>
  <c r="H20" i="5"/>
  <c r="H19" i="5"/>
  <c r="H16" i="5"/>
  <c r="B69" i="7"/>
  <c r="B70" i="7"/>
  <c r="G46" i="5"/>
  <c r="H4" i="6"/>
  <c r="H104" i="5"/>
  <c r="H53" i="5"/>
  <c r="H54" i="5" s="1"/>
  <c r="H51" i="5"/>
  <c r="D6" i="7"/>
  <c r="J8" i="5"/>
  <c r="F11" i="6"/>
  <c r="F57" i="6"/>
  <c r="F56" i="6"/>
  <c r="I50" i="6"/>
  <c r="D5" i="7"/>
  <c r="D4" i="7"/>
  <c r="D3" i="7"/>
  <c r="G3" i="6"/>
  <c r="C13" i="6" s="1"/>
  <c r="F12" i="6"/>
  <c r="E104" i="5"/>
  <c r="E105" i="5"/>
  <c r="E106" i="5"/>
  <c r="E110" i="5"/>
  <c r="E111" i="5"/>
  <c r="E103" i="5"/>
</calcChain>
</file>

<file path=xl/sharedStrings.xml><?xml version="1.0" encoding="utf-8"?>
<sst xmlns="http://schemas.openxmlformats.org/spreadsheetml/2006/main" count="338" uniqueCount="143">
  <si>
    <t>PEMERINTAH KABUPATEN DEMAK</t>
  </si>
  <si>
    <t>SMP NEGERI 2 KARANGTENGAH</t>
  </si>
  <si>
    <t>Jalan Raya Donorejo Kec. Karangtengah Demak, Jawa Tengah 59561</t>
  </si>
  <si>
    <t xml:space="preserve">(0291) 6910950 Pos-el : smpn2.karangtengahdemak@yahoo.co.id </t>
  </si>
  <si>
    <t xml:space="preserve">SURAT PERINTAH TUGAS </t>
  </si>
  <si>
    <t>Dasar :</t>
  </si>
  <si>
    <t>1.    Peraturan Menteri Keuangan Nomor 113/PMK.05/2012</t>
  </si>
  <si>
    <t>2.    Peraturan Pemerintah Nomor 12 Tahun 2019</t>
  </si>
  <si>
    <t>3.    Peraturan Daerah Kabupaten Demak Nomor 7 Tahun 2021</t>
  </si>
  <si>
    <t>4.    Peraturan Bupati Demak Nomor 53 Tahun 2021</t>
  </si>
  <si>
    <t>5.    Peraturan Bupati Demak Nomor 29 Tahun 2023</t>
  </si>
  <si>
    <t xml:space="preserve">MEMERINTAHKAN : </t>
  </si>
  <si>
    <t>Kepada :</t>
  </si>
  <si>
    <t>NIP.</t>
  </si>
  <si>
    <t>2. Nama</t>
  </si>
  <si>
    <t>1. Nama</t>
  </si>
  <si>
    <t xml:space="preserve">    NIP.</t>
  </si>
  <si>
    <t xml:space="preserve">    Jabatan</t>
  </si>
  <si>
    <t xml:space="preserve">    NIP</t>
  </si>
  <si>
    <t>Untuk :</t>
  </si>
  <si>
    <t>Priyantono, S.Pd., M.Pd.</t>
  </si>
  <si>
    <t>Ditetapkan di : Demak</t>
  </si>
  <si>
    <t>Kepala SMP Negeri 2 Karangtengah</t>
  </si>
  <si>
    <t>Kab. Demak</t>
  </si>
  <si>
    <t>NIP. 196902251994031005</t>
  </si>
  <si>
    <t>Lembar ke</t>
  </si>
  <si>
    <t>:</t>
  </si>
  <si>
    <t>Kode No</t>
  </si>
  <si>
    <t>Nomor</t>
  </si>
  <si>
    <t>SURAT PERINTAH PERJALANAN DINAS</t>
  </si>
  <si>
    <t>Nama/NIP Pegawai yang diperintahkan</t>
  </si>
  <si>
    <t>a. Pangkat dan Golongan Ruang</t>
  </si>
  <si>
    <t>b. Jabatan/Instansi</t>
  </si>
  <si>
    <t>c. Tingkat Biaya Perjalanan Dinas</t>
  </si>
  <si>
    <t>Kepala SMP Negeri 2 Karangtengah Kab. Demak</t>
  </si>
  <si>
    <t xml:space="preserve">    Pangkat/Gol.</t>
  </si>
  <si>
    <t>a.</t>
  </si>
  <si>
    <t>b.</t>
  </si>
  <si>
    <t>Maksud Perjalanan Dinas</t>
  </si>
  <si>
    <t>Pejabat Berwenang Yang Memberi Perintah</t>
  </si>
  <si>
    <t>Alat Angkutan Yang Dipergunakan</t>
  </si>
  <si>
    <t>Kendaraan Pribadi/Umum/Dinas*</t>
  </si>
  <si>
    <t>a. Tempat Berangkat</t>
  </si>
  <si>
    <t>b. Tempat Tujuan</t>
  </si>
  <si>
    <t>a. SMP Negeri 2 Karangtengah</t>
  </si>
  <si>
    <t>a. Lamanya Perjalanan Dinas</t>
  </si>
  <si>
    <t>b. Tanggal berangkat</t>
  </si>
  <si>
    <t>c. Tanggal Harus Kembali/Tiba Ditempat Baru*</t>
  </si>
  <si>
    <t xml:space="preserve">c. </t>
  </si>
  <si>
    <t>Pengikut Nama/NIP</t>
  </si>
  <si>
    <t>Golongan Ruang</t>
  </si>
  <si>
    <t>Tanda Tangan</t>
  </si>
  <si>
    <t>3. Nama</t>
  </si>
  <si>
    <t>4. Nama</t>
  </si>
  <si>
    <t>5. Nama</t>
  </si>
  <si>
    <t>1.</t>
  </si>
  <si>
    <t>2.</t>
  </si>
  <si>
    <t>3.</t>
  </si>
  <si>
    <t>4.</t>
  </si>
  <si>
    <t>5.</t>
  </si>
  <si>
    <t>Pembebanan Anggaran</t>
  </si>
  <si>
    <t>a. Instansi</t>
  </si>
  <si>
    <t>b. Mata Anggaran</t>
  </si>
  <si>
    <t>Keterangan Lain-Lain</t>
  </si>
  <si>
    <t>:  -</t>
  </si>
  <si>
    <t xml:space="preserve">a. </t>
  </si>
  <si>
    <t xml:space="preserve">b. </t>
  </si>
  <si>
    <t>*coret yang tidak perlu</t>
  </si>
  <si>
    <t>6.</t>
  </si>
  <si>
    <t>7.</t>
  </si>
  <si>
    <t>8.</t>
  </si>
  <si>
    <t>9.</t>
  </si>
  <si>
    <t>10.</t>
  </si>
  <si>
    <t>Pelaksana SPPD</t>
  </si>
  <si>
    <t xml:space="preserve">: </t>
  </si>
  <si>
    <t>-</t>
  </si>
  <si>
    <t>…...................................................</t>
  </si>
  <si>
    <t>b. Perjalanan Dinas Dalam/Luar Daerah*</t>
  </si>
  <si>
    <t>(Tempat Kedudukan)</t>
  </si>
  <si>
    <t xml:space="preserve">  </t>
  </si>
  <si>
    <t>Ke :</t>
  </si>
  <si>
    <t xml:space="preserve">Pada Tanggal : </t>
  </si>
  <si>
    <t>I.  Berangkat dari : SMP N 2 Karangtengah</t>
  </si>
  <si>
    <t>II. Tiba di :</t>
  </si>
  <si>
    <t>Pada Tanggal :</t>
  </si>
  <si>
    <t>Kepala :</t>
  </si>
  <si>
    <t>…................................................</t>
  </si>
  <si>
    <t>NIP. ….......................................</t>
  </si>
  <si>
    <t>Berangkat Dari :</t>
  </si>
  <si>
    <t>III. Tiba di :</t>
  </si>
  <si>
    <t>IV. Tiba di :</t>
  </si>
  <si>
    <t>V. Tiba di :</t>
  </si>
  <si>
    <t>Pejabat yang berwenang menerbitkan SPPD, pegawai yang melakukan perjalanan Dinas, para pejabat yang mengesahkan tanggal berangkat/tiba, serta bendaharawan bertanggungjawab berdasarkan peraturan-peraturan Keuangan Negara apabila Negara menderita rugi akibat kesalahan, kelalaian dan kealpaannya.</t>
  </si>
  <si>
    <t>2. Tempat</t>
  </si>
  <si>
    <t>3. Waktu</t>
  </si>
  <si>
    <t>4. Kegiatan</t>
  </si>
  <si>
    <t>5. Hasil Kegiatan</t>
  </si>
  <si>
    <t>6. Dokumentasi</t>
  </si>
  <si>
    <t>LAPORAN PELAKSANAAN KEGIATAN</t>
  </si>
  <si>
    <t>VI. Telah diperiksa dengan keterangan bahwa perjalanan atas perintahnya dan semata-mata untuk kepentingan jabatan dalam waktu yang sesingkat-singkatnya.</t>
  </si>
  <si>
    <t>Demak,</t>
  </si>
  <si>
    <t>VII. Catatan Lain-Lain</t>
  </si>
  <si>
    <t>VIII. PERHATIAN</t>
  </si>
  <si>
    <t>SMP Negeri 2 Karangtengah</t>
  </si>
  <si>
    <t>1. Hari, Tanggal</t>
  </si>
  <si>
    <t>Kepala SMP N 2 Karangtengah Kab. Demak</t>
  </si>
  <si>
    <t>….........................…...............................................................................................................</t>
  </si>
  <si>
    <t>6. Nama</t>
  </si>
  <si>
    <t>7. Nama</t>
  </si>
  <si>
    <t>8. Nama</t>
  </si>
  <si>
    <t>Pembina Utama Muda, IV/c</t>
  </si>
  <si>
    <t>Supriyono, S.Pd.</t>
  </si>
  <si>
    <t>Penata Tingkat I, III/d</t>
  </si>
  <si>
    <t>196808212006041008</t>
  </si>
  <si>
    <t>Guru Pembina</t>
  </si>
  <si>
    <t>Khoirun Ni'am, S.E.</t>
  </si>
  <si>
    <t>198402282022211014</t>
  </si>
  <si>
    <t>IX</t>
  </si>
  <si>
    <t>M. Nailul I'dad Firdaus, S.Pd.</t>
  </si>
  <si>
    <t>Malihatun Ni'mah, S.Si.</t>
  </si>
  <si>
    <t>198008142009032003</t>
  </si>
  <si>
    <t>1 (Satu) hari</t>
  </si>
  <si>
    <t>Waka Kurikurum</t>
  </si>
  <si>
    <t>Wakil Kepala Sekolah, Waka Kesiswaan</t>
  </si>
  <si>
    <t>Waka Sarpras</t>
  </si>
  <si>
    <t>Paulus Mauljono, S.Pd.</t>
  </si>
  <si>
    <t>Dewi Nur Khalimah, S.Pd., M.Pd.</t>
  </si>
  <si>
    <t>196609271989031007</t>
  </si>
  <si>
    <t>198711082010012013</t>
  </si>
  <si>
    <t>Guru Ahli Madya</t>
  </si>
  <si>
    <t>Guru Ahli Muda</t>
  </si>
  <si>
    <t>Septia Nurkhalisa, S.Pd.</t>
  </si>
  <si>
    <t>199709062020122024</t>
  </si>
  <si>
    <t>Penata Muda, III/a</t>
  </si>
  <si>
    <t>Guru Ahli Pertama</t>
  </si>
  <si>
    <t>Lulu' Aulia, S.Pd.</t>
  </si>
  <si>
    <t>198704072022212005</t>
  </si>
  <si>
    <t>29 April 2025</t>
  </si>
  <si>
    <t>Rabu, 30 April 2025</t>
  </si>
  <si>
    <t>No : 800/…................./2025</t>
  </si>
  <si>
    <t>Kembang Langit, Kab. Batang</t>
  </si>
  <si>
    <t>Pukul 07.00 WIB - selesai</t>
  </si>
  <si>
    <t>Melaksanakan Praktik Baik (Outing Class)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</si>
</sst>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b/>
      <sz val="18"/>
      <color theme="1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u/>
      <sz val="11"/>
      <color theme="10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color theme="1"/>
      <name val="Arial"/>
      <family val="2"/>
    </font>
    <font>
      <b/>
      <sz val="12"/>
      <color theme="1"/>
      <name val="Arial"/>
      <family val="2"/>
    </font>
    <font>
      <u/>
      <sz val="15"/>
      <color theme="10"/>
      <name val="Arial"/>
      <family val="2"/>
    </font>
    <font>
      <b/>
      <u/>
      <sz val="15"/>
      <color theme="1"/>
      <name val="Arial"/>
      <family val="2"/>
    </font>
    <font>
      <sz val="15"/>
      <color theme="1"/>
      <name val="Arial"/>
      <family val="2"/>
    </font>
    <font>
      <b/>
      <sz val="15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43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4" fillId="0" borderId="0" xfId="0" applyFont="1" applyAlignment="1">
      <alignment vertical="center"/>
    </xf>
    <xf numFmtId="0" fontId="0" fillId="0" borderId="0" xfId="0" applyAlignment="1">
      <alignment horizontal="center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3" fillId="0" borderId="3" xfId="0" applyFont="1" applyBorder="1"/>
    <xf numFmtId="0" fontId="3" fillId="0" borderId="4" xfId="0" applyFont="1" applyBorder="1"/>
    <xf numFmtId="0" fontId="3" fillId="0" borderId="6" xfId="0" applyFont="1" applyBorder="1"/>
    <xf numFmtId="0" fontId="3" fillId="0" borderId="5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8" fillId="0" borderId="5" xfId="0" applyFont="1" applyBorder="1"/>
    <xf numFmtId="0" fontId="3" fillId="0" borderId="2" xfId="0" applyFont="1" applyBorder="1"/>
    <xf numFmtId="0" fontId="3" fillId="0" borderId="5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10" xfId="0" applyFont="1" applyBorder="1"/>
    <xf numFmtId="0" fontId="3" fillId="0" borderId="11" xfId="0" applyFont="1" applyBorder="1"/>
    <xf numFmtId="0" fontId="3" fillId="0" borderId="12" xfId="0" applyFont="1" applyBorder="1"/>
    <xf numFmtId="0" fontId="0" fillId="0" borderId="0" xfId="0" applyAlignment="1">
      <alignment vertical="top" wrapText="1"/>
    </xf>
    <xf numFmtId="0" fontId="8" fillId="0" borderId="0" xfId="0" applyFont="1"/>
    <xf numFmtId="0" fontId="8" fillId="0" borderId="0" xfId="0" applyFont="1" applyAlignment="1">
      <alignment horizontal="center"/>
    </xf>
    <xf numFmtId="0" fontId="9" fillId="0" borderId="0" xfId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0" xfId="0" applyFont="1"/>
    <xf numFmtId="0" fontId="11" fillId="0" borderId="0" xfId="0" applyFont="1" applyAlignment="1">
      <alignment vertical="center"/>
    </xf>
    <xf numFmtId="0" fontId="3" fillId="0" borderId="15" xfId="0" applyFont="1" applyBorder="1" applyAlignment="1">
      <alignment horizontal="center" vertical="top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14" xfId="0" applyFont="1" applyBorder="1" applyAlignment="1">
      <alignment vertical="top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15" xfId="0" applyFont="1" applyBorder="1" applyAlignment="1">
      <alignment horizontal="center" vertical="center"/>
    </xf>
    <xf numFmtId="0" fontId="3" fillId="0" borderId="5" xfId="0" applyFont="1" applyBorder="1" applyAlignment="1">
      <alignment horizontal="left"/>
    </xf>
    <xf numFmtId="0" fontId="3" fillId="0" borderId="5" xfId="0" applyFont="1" applyBorder="1" applyAlignment="1">
      <alignment vertical="center"/>
    </xf>
    <xf numFmtId="0" fontId="3" fillId="0" borderId="13" xfId="0" applyFont="1" applyBorder="1" applyAlignment="1">
      <alignment horizontal="center" vertical="top"/>
    </xf>
    <xf numFmtId="0" fontId="3" fillId="0" borderId="14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1" fillId="0" borderId="0" xfId="0" quotePrefix="1" applyFont="1" applyAlignment="1">
      <alignment vertic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8" fillId="0" borderId="5" xfId="0" applyFont="1" applyBorder="1" applyAlignment="1">
      <alignment horizontal="left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vertical="top" wrapText="1"/>
    </xf>
    <xf numFmtId="0" fontId="3" fillId="0" borderId="2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 indent="1"/>
    </xf>
    <xf numFmtId="0" fontId="11" fillId="0" borderId="0" xfId="0" applyFont="1" applyAlignment="1">
      <alignment vertical="top"/>
    </xf>
    <xf numFmtId="0" fontId="11" fillId="0" borderId="0" xfId="0" quotePrefix="1" applyFont="1"/>
    <xf numFmtId="0" fontId="3" fillId="0" borderId="5" xfId="0" applyFont="1" applyBorder="1" applyAlignment="1">
      <alignment vertical="top"/>
    </xf>
    <xf numFmtId="15" fontId="3" fillId="0" borderId="8" xfId="0" quotePrefix="1" applyNumberFormat="1" applyFont="1" applyBorder="1" applyAlignment="1">
      <alignment vertical="center"/>
    </xf>
    <xf numFmtId="0" fontId="12" fillId="0" borderId="0" xfId="0" applyFont="1" applyAlignment="1">
      <alignment vertical="center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left" wrapText="1"/>
    </xf>
    <xf numFmtId="0" fontId="3" fillId="0" borderId="2" xfId="0" applyFont="1" applyBorder="1" applyAlignment="1">
      <alignment vertical="top"/>
    </xf>
    <xf numFmtId="0" fontId="3" fillId="0" borderId="7" xfId="0" applyFont="1" applyBorder="1" applyAlignment="1">
      <alignment vertical="top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left" wrapText="1"/>
    </xf>
    <xf numFmtId="0" fontId="7" fillId="0" borderId="0" xfId="0" applyFont="1" applyAlignment="1">
      <alignment horizontal="left" vertical="top"/>
    </xf>
    <xf numFmtId="0" fontId="7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12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0" xfId="1" applyAlignment="1">
      <alignment horizontal="center" vertical="center"/>
    </xf>
    <xf numFmtId="0" fontId="11" fillId="0" borderId="0" xfId="0" applyFont="1" applyAlignment="1">
      <alignment horizontal="left" vertical="center" wrapText="1"/>
    </xf>
    <xf numFmtId="0" fontId="3" fillId="0" borderId="7" xfId="0" applyFont="1" applyBorder="1" applyAlignment="1">
      <alignment horizontal="left"/>
    </xf>
    <xf numFmtId="0" fontId="3" fillId="0" borderId="8" xfId="0" applyFont="1" applyBorder="1" applyAlignment="1">
      <alignment horizontal="left"/>
    </xf>
    <xf numFmtId="0" fontId="3" fillId="0" borderId="9" xfId="0" applyFont="1" applyBorder="1" applyAlignment="1">
      <alignment horizontal="left"/>
    </xf>
    <xf numFmtId="0" fontId="3" fillId="0" borderId="3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6" xfId="0" applyFont="1" applyBorder="1" applyAlignment="1">
      <alignment horizontal="left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6" xfId="0" applyFont="1" applyBorder="1" applyAlignment="1">
      <alignment horizontal="left" vertical="center"/>
    </xf>
    <xf numFmtId="0" fontId="3" fillId="0" borderId="6" xfId="0" applyFont="1" applyBorder="1" applyAlignment="1">
      <alignment horizontal="center" vertical="center"/>
    </xf>
    <xf numFmtId="0" fontId="3" fillId="0" borderId="9" xfId="0" applyFont="1" applyBorder="1" applyAlignment="1">
      <alignment horizontal="left" vertical="center"/>
    </xf>
    <xf numFmtId="0" fontId="3" fillId="0" borderId="5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0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8" fillId="0" borderId="0" xfId="0" applyFont="1" applyAlignment="1">
      <alignment horizontal="center"/>
    </xf>
    <xf numFmtId="0" fontId="3" fillId="0" borderId="15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2" xfId="0" applyFont="1" applyBorder="1" applyAlignment="1">
      <alignment horizontal="left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/>
    </xf>
    <xf numFmtId="0" fontId="3" fillId="0" borderId="4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center"/>
    </xf>
    <xf numFmtId="0" fontId="3" fillId="0" borderId="3" xfId="0" applyFont="1" applyBorder="1" applyAlignment="1">
      <alignment horizontal="left" vertical="top"/>
    </xf>
    <xf numFmtId="0" fontId="3" fillId="0" borderId="4" xfId="0" applyFont="1" applyBorder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3" fillId="0" borderId="6" xfId="0" applyFont="1" applyBorder="1" applyAlignment="1">
      <alignment horizontal="left" vertical="top"/>
    </xf>
    <xf numFmtId="0" fontId="3" fillId="0" borderId="2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center"/>
    </xf>
    <xf numFmtId="49" fontId="11" fillId="0" borderId="0" xfId="0" quotePrefix="1" applyNumberFormat="1" applyFont="1" applyAlignment="1">
      <alignment vertical="center"/>
    </xf>
    <xf numFmtId="0" fontId="3" fillId="0" borderId="1" xfId="0" applyFont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508000</xdr:colOff>
      <xdr:row>0</xdr:row>
      <xdr:rowOff>0</xdr:rowOff>
    </xdr:from>
    <xdr:to>
      <xdr:col>2</xdr:col>
      <xdr:colOff>15875</xdr:colOff>
      <xdr:row>4</xdr:row>
      <xdr:rowOff>29482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AD56C73A-CABE-E8F8-037F-A01C1EFB06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8000" y="0"/>
          <a:ext cx="1235982" cy="9411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3</xdr:row>
      <xdr:rowOff>188026</xdr:rowOff>
    </xdr:from>
    <xdr:to>
      <xdr:col>10</xdr:col>
      <xdr:colOff>9897</xdr:colOff>
      <xdr:row>4</xdr:row>
      <xdr:rowOff>0</xdr:rowOff>
    </xdr:to>
    <xdr:cxnSp macro="">
      <xdr:nvCxnSpPr>
        <xdr:cNvPr id="3" name="Line 6">
          <a:extLst>
            <a:ext uri="{FF2B5EF4-FFF2-40B4-BE49-F238E27FC236}">
              <a16:creationId xmlns:a16="http://schemas.microsoft.com/office/drawing/2014/main" id="{9626B455-A747-81CE-A68A-BA4D6A52E4DA}"/>
            </a:ext>
          </a:extLst>
        </xdr:cNvPr>
        <xdr:cNvCxnSpPr>
          <a:cxnSpLocks noChangeShapeType="1"/>
        </xdr:cNvCxnSpPr>
      </xdr:nvCxnSpPr>
      <xdr:spPr bwMode="auto">
        <a:xfrm flipV="1">
          <a:off x="654844" y="1092901"/>
          <a:ext cx="7725147" cy="2474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428625</xdr:colOff>
      <xdr:row>0</xdr:row>
      <xdr:rowOff>0</xdr:rowOff>
    </xdr:from>
    <xdr:to>
      <xdr:col>9</xdr:col>
      <xdr:colOff>1279071</xdr:colOff>
      <xdr:row>3</xdr:row>
      <xdr:rowOff>167820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12BEC776-5685-CE5C-D90E-DDF6B8B65C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63518" y="181428"/>
          <a:ext cx="850446" cy="8980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1143000</xdr:colOff>
      <xdr:row>0</xdr:row>
      <xdr:rowOff>1</xdr:rowOff>
    </xdr:from>
    <xdr:to>
      <xdr:col>9</xdr:col>
      <xdr:colOff>1934482</xdr:colOff>
      <xdr:row>3</xdr:row>
      <xdr:rowOff>176893</xdr:rowOff>
    </xdr:to>
    <xdr:pic>
      <xdr:nvPicPr>
        <xdr:cNvPr id="2" name="Picture 4">
          <a:extLst>
            <a:ext uri="{FF2B5EF4-FFF2-40B4-BE49-F238E27FC236}">
              <a16:creationId xmlns:a16="http://schemas.microsoft.com/office/drawing/2014/main" id="{7B2E8058-B108-4215-AB1A-6A7BBBB416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53893" y="190501"/>
          <a:ext cx="791482" cy="8572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446313</xdr:colOff>
      <xdr:row>0</xdr:row>
      <xdr:rowOff>0</xdr:rowOff>
    </xdr:from>
    <xdr:to>
      <xdr:col>2</xdr:col>
      <xdr:colOff>775606</xdr:colOff>
      <xdr:row>4</xdr:row>
      <xdr:rowOff>9071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56C187-D0A8-4DC7-A00D-2DA0D4A16C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6313" y="158750"/>
          <a:ext cx="1281793" cy="9116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571500</xdr:colOff>
      <xdr:row>4</xdr:row>
      <xdr:rowOff>0</xdr:rowOff>
    </xdr:from>
    <xdr:to>
      <xdr:col>10</xdr:col>
      <xdr:colOff>40821</xdr:colOff>
      <xdr:row>4</xdr:row>
      <xdr:rowOff>0</xdr:rowOff>
    </xdr:to>
    <xdr:cxnSp macro="">
      <xdr:nvCxnSpPr>
        <xdr:cNvPr id="4" name="Line 6">
          <a:extLst>
            <a:ext uri="{FF2B5EF4-FFF2-40B4-BE49-F238E27FC236}">
              <a16:creationId xmlns:a16="http://schemas.microsoft.com/office/drawing/2014/main" id="{81ACA941-E81B-4CF6-9C01-179441A85363}"/>
            </a:ext>
          </a:extLst>
        </xdr:cNvPr>
        <xdr:cNvCxnSpPr>
          <a:cxnSpLocks noChangeShapeType="1"/>
        </xdr:cNvCxnSpPr>
      </xdr:nvCxnSpPr>
      <xdr:spPr bwMode="auto">
        <a:xfrm>
          <a:off x="571500" y="1061357"/>
          <a:ext cx="6694714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mpn2.karangtengahdemak@yahoo.co.id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CB427-3AD8-4651-83B4-9962E14C0442}">
  <dimension ref="B1:AA63"/>
  <sheetViews>
    <sheetView view="pageBreakPreview" topLeftCell="A24" zoomScale="55" zoomScaleNormal="70" zoomScaleSheetLayoutView="55" workbookViewId="0">
      <selection activeCell="L43" sqref="L43"/>
    </sheetView>
  </sheetViews>
  <sheetFormatPr defaultRowHeight="15" x14ac:dyDescent="0.25"/>
  <cols>
    <col min="2" max="2" width="16.7109375" customWidth="1"/>
    <col min="3" max="3" width="23.28515625" customWidth="1"/>
    <col min="4" max="4" width="3" customWidth="1"/>
    <col min="5" max="5" width="21" customWidth="1"/>
    <col min="8" max="8" width="3.42578125" customWidth="1"/>
    <col min="10" max="10" width="20.28515625" customWidth="1"/>
    <col min="13" max="13" width="12" bestFit="1" customWidth="1"/>
    <col min="23" max="24" width="18" bestFit="1" customWidth="1"/>
  </cols>
  <sheetData>
    <row r="1" spans="2:27" ht="18" x14ac:dyDescent="0.25">
      <c r="B1" s="80" t="s">
        <v>0</v>
      </c>
      <c r="C1" s="80"/>
      <c r="D1" s="80"/>
      <c r="E1" s="80"/>
      <c r="F1" s="80"/>
      <c r="G1" s="80"/>
      <c r="H1" s="80"/>
      <c r="I1" s="80"/>
      <c r="J1" s="80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6"/>
    </row>
    <row r="2" spans="2:27" ht="23.25" x14ac:dyDescent="0.25">
      <c r="B2" s="74" t="s">
        <v>1</v>
      </c>
      <c r="C2" s="74"/>
      <c r="D2" s="74"/>
      <c r="E2" s="74"/>
      <c r="F2" s="74"/>
      <c r="G2" s="74"/>
      <c r="H2" s="74"/>
      <c r="I2" s="74"/>
      <c r="J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1"/>
    </row>
    <row r="3" spans="2:27" x14ac:dyDescent="0.25">
      <c r="B3" s="73" t="s">
        <v>2</v>
      </c>
      <c r="C3" s="73"/>
      <c r="D3" s="73"/>
      <c r="E3" s="73"/>
      <c r="F3" s="73"/>
      <c r="G3" s="73"/>
      <c r="H3" s="73"/>
      <c r="I3" s="73"/>
      <c r="J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  <c r="AA3" s="2"/>
    </row>
    <row r="4" spans="2:27" x14ac:dyDescent="0.25">
      <c r="B4" s="81" t="s">
        <v>3</v>
      </c>
      <c r="C4" s="81"/>
      <c r="D4" s="81"/>
      <c r="E4" s="81"/>
      <c r="F4" s="81"/>
      <c r="G4" s="81"/>
      <c r="H4" s="81"/>
      <c r="I4" s="81"/>
      <c r="J4" s="81"/>
      <c r="L4" s="75"/>
      <c r="M4" s="75"/>
      <c r="N4" s="75"/>
      <c r="O4" s="75"/>
      <c r="P4" s="75"/>
      <c r="Q4" s="75"/>
      <c r="R4" s="75"/>
      <c r="S4" s="75"/>
      <c r="T4" s="75"/>
      <c r="U4" s="75"/>
      <c r="V4" s="75"/>
      <c r="W4" s="75"/>
      <c r="X4" s="75"/>
      <c r="Y4" s="75"/>
      <c r="Z4" s="75"/>
      <c r="AA4" s="6"/>
    </row>
    <row r="5" spans="2:27" ht="18.75" x14ac:dyDescent="0.25">
      <c r="B5" s="29"/>
      <c r="C5" s="29"/>
      <c r="D5" s="29"/>
      <c r="E5" s="29"/>
      <c r="F5" s="29"/>
      <c r="G5" s="29"/>
      <c r="H5" s="29"/>
      <c r="I5" s="29"/>
      <c r="J5" s="29"/>
    </row>
    <row r="6" spans="2:27" ht="23.25" x14ac:dyDescent="0.35">
      <c r="B6" s="78" t="s">
        <v>4</v>
      </c>
      <c r="C6" s="78"/>
      <c r="D6" s="78"/>
      <c r="E6" s="78"/>
      <c r="F6" s="78"/>
      <c r="G6" s="78"/>
      <c r="H6" s="78"/>
      <c r="I6" s="78"/>
      <c r="J6" s="78"/>
      <c r="O6" s="3"/>
      <c r="P6" s="3"/>
      <c r="W6" s="5"/>
      <c r="X6" s="5"/>
      <c r="Y6" s="4"/>
    </row>
    <row r="7" spans="2:27" ht="23.25" x14ac:dyDescent="0.35">
      <c r="B7" s="79" t="s">
        <v>139</v>
      </c>
      <c r="C7" s="79"/>
      <c r="D7" s="79"/>
      <c r="E7" s="79"/>
      <c r="F7" s="79"/>
      <c r="G7" s="79"/>
      <c r="H7" s="79"/>
      <c r="I7" s="79"/>
      <c r="J7" s="79"/>
      <c r="P7" s="3"/>
      <c r="W7" s="5"/>
      <c r="X7" s="5"/>
      <c r="Y7" s="4"/>
    </row>
    <row r="8" spans="2:27" ht="23.25" x14ac:dyDescent="0.35">
      <c r="B8" s="31"/>
      <c r="C8" s="31"/>
      <c r="D8" s="31"/>
      <c r="E8" s="31"/>
      <c r="F8" s="31"/>
      <c r="G8" s="31"/>
      <c r="H8" s="31"/>
      <c r="I8" s="31"/>
      <c r="J8" s="31"/>
      <c r="P8" s="3"/>
      <c r="W8" s="5"/>
      <c r="X8" s="5"/>
      <c r="Y8" s="4"/>
    </row>
    <row r="9" spans="2:27" ht="18.75" x14ac:dyDescent="0.25">
      <c r="B9" s="32" t="s">
        <v>5</v>
      </c>
      <c r="C9" s="32" t="s">
        <v>6</v>
      </c>
      <c r="D9" s="32"/>
      <c r="E9" s="32"/>
      <c r="F9" s="32"/>
      <c r="G9" s="32"/>
      <c r="H9" s="32"/>
      <c r="I9" s="32"/>
      <c r="J9" s="32"/>
    </row>
    <row r="10" spans="2:27" ht="23.25" x14ac:dyDescent="0.35">
      <c r="B10" s="32"/>
      <c r="C10" s="32" t="s">
        <v>7</v>
      </c>
      <c r="D10" s="32"/>
      <c r="E10" s="32"/>
      <c r="F10" s="32"/>
      <c r="G10" s="32"/>
      <c r="H10" s="32"/>
      <c r="I10" s="32"/>
      <c r="J10" s="32"/>
      <c r="M10" s="76"/>
      <c r="N10" s="76"/>
      <c r="O10" s="76"/>
      <c r="P10" s="76"/>
      <c r="Q10" s="76"/>
      <c r="R10" s="76"/>
      <c r="S10" s="76"/>
      <c r="T10" s="76"/>
      <c r="U10" s="76"/>
      <c r="V10" s="76"/>
      <c r="W10" s="76"/>
      <c r="X10" s="76"/>
      <c r="Y10" s="76"/>
      <c r="Z10" s="76"/>
    </row>
    <row r="11" spans="2:27" ht="18.75" x14ac:dyDescent="0.25">
      <c r="B11" s="32"/>
      <c r="C11" s="32" t="s">
        <v>8</v>
      </c>
      <c r="D11" s="32"/>
      <c r="E11" s="32"/>
      <c r="F11" s="32"/>
      <c r="G11" s="32"/>
      <c r="H11" s="32"/>
      <c r="I11" s="32"/>
      <c r="J11" s="32"/>
    </row>
    <row r="12" spans="2:27" ht="23.25" x14ac:dyDescent="0.25">
      <c r="B12" s="32"/>
      <c r="C12" s="32" t="s">
        <v>9</v>
      </c>
      <c r="D12" s="32"/>
      <c r="E12" s="32"/>
      <c r="F12" s="32"/>
      <c r="G12" s="32"/>
      <c r="H12" s="32"/>
      <c r="I12" s="32"/>
      <c r="J12" s="3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</row>
    <row r="13" spans="2:27" ht="23.25" x14ac:dyDescent="0.25">
      <c r="B13" s="32"/>
      <c r="C13" s="32" t="s">
        <v>10</v>
      </c>
      <c r="D13" s="32"/>
      <c r="E13" s="32"/>
      <c r="F13" s="32"/>
      <c r="G13" s="32"/>
      <c r="H13" s="32"/>
      <c r="I13" s="32"/>
      <c r="J13" s="3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</row>
    <row r="14" spans="2:27" ht="23.25" x14ac:dyDescent="0.25">
      <c r="B14" s="32"/>
      <c r="C14" s="32"/>
      <c r="D14" s="32"/>
      <c r="E14" s="32"/>
      <c r="F14" s="32"/>
      <c r="G14" s="32"/>
      <c r="H14" s="32"/>
      <c r="I14" s="32"/>
      <c r="J14" s="3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</row>
    <row r="15" spans="2:27" ht="23.25" x14ac:dyDescent="0.35">
      <c r="B15" s="77" t="s">
        <v>11</v>
      </c>
      <c r="C15" s="77"/>
      <c r="D15" s="77"/>
      <c r="E15" s="77"/>
      <c r="F15" s="77"/>
      <c r="G15" s="77"/>
      <c r="H15" s="77"/>
      <c r="I15" s="77"/>
      <c r="J15" s="77"/>
      <c r="M15" s="69"/>
      <c r="N15" s="69"/>
      <c r="O15" s="69"/>
      <c r="P15" s="69"/>
      <c r="Q15" s="69"/>
      <c r="R15" s="69"/>
      <c r="S15" s="69"/>
      <c r="T15" s="72"/>
      <c r="U15" s="72"/>
      <c r="V15" s="72"/>
      <c r="W15" s="72"/>
      <c r="X15" s="72"/>
      <c r="Y15" s="72"/>
      <c r="Z15" s="72"/>
    </row>
    <row r="16" spans="2:27" ht="23.25" x14ac:dyDescent="0.35">
      <c r="B16" s="32"/>
      <c r="C16" s="32"/>
      <c r="D16" s="32"/>
      <c r="E16" s="32"/>
      <c r="F16" s="32"/>
      <c r="G16" s="32"/>
      <c r="H16" s="32"/>
      <c r="I16" s="32"/>
      <c r="J16" s="32"/>
      <c r="M16" s="69"/>
      <c r="N16" s="69"/>
      <c r="O16" s="69"/>
      <c r="P16" s="69"/>
      <c r="Q16" s="69"/>
      <c r="R16" s="69"/>
      <c r="S16" s="69"/>
      <c r="T16" s="72"/>
      <c r="U16" s="72"/>
      <c r="V16" s="72"/>
      <c r="W16" s="72"/>
      <c r="X16" s="72"/>
      <c r="Y16" s="72"/>
      <c r="Z16" s="72"/>
    </row>
    <row r="17" spans="2:26" ht="23.25" x14ac:dyDescent="0.35">
      <c r="B17" s="32" t="s">
        <v>12</v>
      </c>
      <c r="C17" s="32" t="s">
        <v>15</v>
      </c>
      <c r="D17" s="30" t="s">
        <v>74</v>
      </c>
      <c r="E17" s="48" t="s">
        <v>111</v>
      </c>
      <c r="F17" s="32"/>
      <c r="G17" s="32"/>
      <c r="H17" s="32"/>
      <c r="I17" s="32"/>
      <c r="J17" s="32"/>
      <c r="M17" s="69"/>
      <c r="N17" s="69"/>
      <c r="O17" s="69"/>
      <c r="P17" s="69"/>
      <c r="Q17" s="69"/>
      <c r="R17" s="69"/>
      <c r="S17" s="69"/>
      <c r="T17" s="71"/>
      <c r="U17" s="71"/>
      <c r="V17" s="71"/>
      <c r="W17" s="71"/>
      <c r="X17" s="71"/>
      <c r="Y17" s="71"/>
      <c r="Z17" s="71"/>
    </row>
    <row r="18" spans="2:26" ht="23.25" x14ac:dyDescent="0.35">
      <c r="B18" s="32"/>
      <c r="C18" s="32" t="s">
        <v>16</v>
      </c>
      <c r="D18" s="30" t="s">
        <v>74</v>
      </c>
      <c r="E18" s="61" t="s">
        <v>113</v>
      </c>
      <c r="F18" s="32"/>
      <c r="G18" s="32"/>
      <c r="H18" s="32"/>
      <c r="I18" s="32"/>
      <c r="J18" s="32"/>
      <c r="M18" s="5"/>
      <c r="N18" s="5"/>
      <c r="O18" s="5"/>
      <c r="P18" s="5"/>
      <c r="Q18" s="5"/>
      <c r="R18" s="5"/>
      <c r="S18" s="5"/>
      <c r="T18" s="71"/>
      <c r="U18" s="71"/>
      <c r="V18" s="71"/>
      <c r="W18" s="71"/>
      <c r="X18" s="71"/>
      <c r="Y18" s="71"/>
      <c r="Z18" s="71"/>
    </row>
    <row r="19" spans="2:26" ht="23.25" x14ac:dyDescent="0.35">
      <c r="B19" s="32"/>
      <c r="C19" s="32" t="s">
        <v>35</v>
      </c>
      <c r="D19" s="30" t="s">
        <v>74</v>
      </c>
      <c r="E19" s="48" t="s">
        <v>112</v>
      </c>
      <c r="F19" s="32"/>
      <c r="G19" s="32"/>
      <c r="H19" s="32"/>
      <c r="I19" s="32"/>
      <c r="J19" s="32"/>
      <c r="M19" s="5"/>
      <c r="N19" s="5"/>
      <c r="O19" s="5"/>
      <c r="P19" s="5"/>
      <c r="Q19" s="5"/>
      <c r="R19" s="5"/>
      <c r="S19" s="5"/>
      <c r="T19" s="71"/>
      <c r="U19" s="71"/>
      <c r="V19" s="71"/>
      <c r="W19" s="71"/>
      <c r="X19" s="71"/>
      <c r="Y19" s="71"/>
      <c r="Z19" s="71"/>
    </row>
    <row r="20" spans="2:26" ht="23.25" x14ac:dyDescent="0.35">
      <c r="B20" s="32"/>
      <c r="C20" s="32" t="s">
        <v>17</v>
      </c>
      <c r="D20" s="30" t="s">
        <v>74</v>
      </c>
      <c r="E20" s="48" t="s">
        <v>123</v>
      </c>
      <c r="F20" s="32"/>
      <c r="G20" s="32"/>
      <c r="H20" s="32"/>
      <c r="I20" s="32"/>
      <c r="J20" s="32"/>
      <c r="M20" s="69"/>
      <c r="N20" s="69"/>
      <c r="O20" s="69"/>
      <c r="P20" s="69"/>
      <c r="Q20" s="69"/>
      <c r="R20" s="69"/>
      <c r="S20" s="69"/>
      <c r="T20" s="72"/>
      <c r="U20" s="72"/>
      <c r="V20" s="72"/>
      <c r="W20" s="72"/>
      <c r="X20" s="72"/>
      <c r="Y20" s="72"/>
      <c r="Z20" s="72"/>
    </row>
    <row r="21" spans="2:26" ht="23.25" x14ac:dyDescent="0.35">
      <c r="B21" s="32"/>
      <c r="C21" s="32" t="s">
        <v>14</v>
      </c>
      <c r="D21" s="30" t="s">
        <v>74</v>
      </c>
      <c r="E21" s="32" t="s">
        <v>119</v>
      </c>
      <c r="F21" s="32"/>
      <c r="G21" s="32"/>
      <c r="H21" s="32"/>
      <c r="I21" s="32"/>
      <c r="J21" s="32"/>
      <c r="M21" s="69"/>
      <c r="N21" s="69"/>
      <c r="O21" s="69"/>
      <c r="P21" s="69"/>
      <c r="Q21" s="69"/>
      <c r="R21" s="69"/>
      <c r="S21" s="69"/>
      <c r="T21" s="5"/>
      <c r="U21" s="5"/>
      <c r="V21" s="5"/>
      <c r="W21" s="5"/>
      <c r="X21" s="5"/>
      <c r="Y21" s="5"/>
      <c r="Z21" s="5"/>
    </row>
    <row r="22" spans="2:26" ht="23.25" x14ac:dyDescent="0.35">
      <c r="B22" s="32"/>
      <c r="C22" s="32" t="s">
        <v>18</v>
      </c>
      <c r="D22" s="30" t="s">
        <v>74</v>
      </c>
      <c r="E22" s="48" t="s">
        <v>120</v>
      </c>
      <c r="F22" s="32"/>
      <c r="G22" s="32"/>
      <c r="H22" s="32"/>
      <c r="I22" s="32"/>
      <c r="J22" s="32"/>
      <c r="M22" s="69"/>
      <c r="N22" s="69"/>
      <c r="O22" s="69"/>
      <c r="P22" s="69"/>
      <c r="Q22" s="69"/>
      <c r="R22" s="69"/>
      <c r="S22" s="69"/>
      <c r="T22" s="5"/>
      <c r="U22" s="5"/>
      <c r="V22" s="5"/>
      <c r="W22" s="5"/>
      <c r="X22" s="5"/>
      <c r="Y22" s="5"/>
      <c r="Z22" s="5"/>
    </row>
    <row r="23" spans="2:26" ht="23.25" x14ac:dyDescent="0.35">
      <c r="B23" s="32"/>
      <c r="C23" s="32" t="s">
        <v>35</v>
      </c>
      <c r="D23" s="30" t="s">
        <v>74</v>
      </c>
      <c r="E23" s="48" t="s">
        <v>112</v>
      </c>
      <c r="F23" s="32"/>
      <c r="G23" s="32"/>
      <c r="H23" s="32"/>
      <c r="I23" s="32"/>
      <c r="J23" s="32"/>
      <c r="M23" s="69"/>
      <c r="N23" s="69"/>
      <c r="O23" s="69"/>
      <c r="P23" s="69"/>
      <c r="Q23" s="69"/>
      <c r="R23" s="69"/>
      <c r="S23" s="69"/>
      <c r="T23" s="5"/>
      <c r="U23" s="5"/>
      <c r="V23" s="5"/>
      <c r="W23" s="5"/>
      <c r="X23" s="5"/>
      <c r="Y23" s="5"/>
      <c r="Z23" s="5"/>
    </row>
    <row r="24" spans="2:26" ht="23.25" x14ac:dyDescent="0.35">
      <c r="B24" s="32"/>
      <c r="C24" s="32" t="s">
        <v>17</v>
      </c>
      <c r="D24" s="30" t="s">
        <v>74</v>
      </c>
      <c r="E24" s="48" t="s">
        <v>122</v>
      </c>
      <c r="F24" s="32"/>
      <c r="G24" s="32"/>
      <c r="H24" s="32"/>
      <c r="I24" s="32"/>
      <c r="J24" s="32"/>
      <c r="M24" s="69"/>
      <c r="N24" s="69"/>
      <c r="O24" s="69"/>
      <c r="P24" s="69"/>
      <c r="Q24" s="69"/>
      <c r="R24" s="69"/>
      <c r="S24" s="69"/>
      <c r="T24" s="5"/>
      <c r="U24" s="5"/>
      <c r="V24" s="5"/>
      <c r="W24" s="5"/>
      <c r="X24" s="5"/>
      <c r="Y24" s="5"/>
      <c r="Z24" s="5"/>
    </row>
    <row r="25" spans="2:26" ht="23.25" x14ac:dyDescent="0.35">
      <c r="B25" s="32"/>
      <c r="C25" s="32" t="s">
        <v>52</v>
      </c>
      <c r="D25" s="30" t="s">
        <v>74</v>
      </c>
      <c r="E25" s="32" t="s">
        <v>115</v>
      </c>
      <c r="F25" s="32"/>
      <c r="G25" s="32"/>
      <c r="H25" s="32"/>
      <c r="I25" s="32"/>
      <c r="J25" s="32"/>
      <c r="M25" s="65"/>
      <c r="N25" s="65"/>
      <c r="O25" s="65"/>
      <c r="P25" s="65"/>
      <c r="Q25" s="65"/>
      <c r="R25" s="65"/>
      <c r="S25" s="65"/>
      <c r="T25" s="5"/>
      <c r="U25" s="5"/>
      <c r="V25" s="5"/>
      <c r="W25" s="5"/>
      <c r="X25" s="5"/>
      <c r="Y25" s="5"/>
      <c r="Z25" s="5"/>
    </row>
    <row r="26" spans="2:26" ht="23.25" x14ac:dyDescent="0.35">
      <c r="B26" s="32"/>
      <c r="C26" s="32" t="s">
        <v>16</v>
      </c>
      <c r="D26" s="30" t="s">
        <v>74</v>
      </c>
      <c r="E26" s="48" t="s">
        <v>116</v>
      </c>
      <c r="F26" s="32"/>
      <c r="G26" s="32"/>
      <c r="H26" s="32"/>
      <c r="I26" s="32"/>
      <c r="J26" s="32"/>
      <c r="M26" s="65"/>
      <c r="N26" s="65"/>
      <c r="O26" s="65"/>
      <c r="P26" s="65"/>
      <c r="Q26" s="65"/>
      <c r="R26" s="65"/>
      <c r="S26" s="65"/>
      <c r="T26" s="5"/>
      <c r="U26" s="5"/>
      <c r="V26" s="5"/>
      <c r="W26" s="5"/>
      <c r="X26" s="5"/>
      <c r="Y26" s="5"/>
      <c r="Z26" s="5"/>
    </row>
    <row r="27" spans="2:26" ht="23.25" x14ac:dyDescent="0.35">
      <c r="B27" s="32"/>
      <c r="C27" s="32" t="s">
        <v>35</v>
      </c>
      <c r="D27" s="30" t="s">
        <v>74</v>
      </c>
      <c r="E27" s="48" t="s">
        <v>117</v>
      </c>
      <c r="F27" s="32"/>
      <c r="G27" s="32"/>
      <c r="H27" s="32"/>
      <c r="I27" s="32"/>
      <c r="J27" s="32"/>
      <c r="M27" s="65"/>
      <c r="N27" s="65"/>
      <c r="O27" s="65"/>
      <c r="P27" s="65"/>
      <c r="Q27" s="65"/>
      <c r="R27" s="65"/>
      <c r="S27" s="65"/>
      <c r="T27" s="5"/>
      <c r="U27" s="5"/>
      <c r="V27" s="5"/>
      <c r="W27" s="5"/>
      <c r="X27" s="5"/>
      <c r="Y27" s="5"/>
      <c r="Z27" s="5"/>
    </row>
    <row r="28" spans="2:26" ht="23.25" x14ac:dyDescent="0.35">
      <c r="B28" s="32"/>
      <c r="C28" s="32" t="s">
        <v>17</v>
      </c>
      <c r="D28" s="30" t="s">
        <v>74</v>
      </c>
      <c r="E28" s="48" t="s">
        <v>124</v>
      </c>
      <c r="F28" s="32"/>
      <c r="G28" s="32"/>
      <c r="H28" s="32"/>
      <c r="I28" s="32"/>
      <c r="J28" s="32"/>
      <c r="M28" s="65"/>
      <c r="N28" s="65"/>
      <c r="O28" s="65"/>
      <c r="P28" s="65"/>
      <c r="Q28" s="65"/>
      <c r="R28" s="65"/>
      <c r="S28" s="65"/>
      <c r="T28" s="5"/>
      <c r="U28" s="5"/>
      <c r="V28" s="5"/>
      <c r="W28" s="5"/>
      <c r="X28" s="5"/>
      <c r="Y28" s="5"/>
      <c r="Z28" s="5"/>
    </row>
    <row r="29" spans="2:26" ht="23.25" x14ac:dyDescent="0.35">
      <c r="B29" s="32"/>
      <c r="C29" s="32" t="s">
        <v>53</v>
      </c>
      <c r="D29" s="30" t="s">
        <v>74</v>
      </c>
      <c r="E29" s="48" t="s">
        <v>125</v>
      </c>
      <c r="F29" s="32"/>
      <c r="G29" s="32"/>
      <c r="H29" s="32"/>
      <c r="I29" s="32"/>
      <c r="J29" s="32"/>
      <c r="M29" s="65"/>
      <c r="N29" s="65"/>
      <c r="O29" s="65"/>
      <c r="P29" s="65"/>
      <c r="Q29" s="65"/>
      <c r="R29" s="65"/>
      <c r="S29" s="65"/>
      <c r="T29" s="5"/>
      <c r="U29" s="5"/>
      <c r="V29" s="5"/>
      <c r="W29" s="5"/>
      <c r="X29" s="5"/>
      <c r="Y29" s="5"/>
      <c r="Z29" s="5"/>
    </row>
    <row r="30" spans="2:26" ht="23.25" x14ac:dyDescent="0.35">
      <c r="B30" s="32"/>
      <c r="C30" s="32" t="s">
        <v>16</v>
      </c>
      <c r="D30" s="30" t="s">
        <v>74</v>
      </c>
      <c r="E30" s="141" t="s">
        <v>127</v>
      </c>
      <c r="F30" s="32"/>
      <c r="G30" s="32"/>
      <c r="H30" s="32"/>
      <c r="I30" s="32"/>
      <c r="J30" s="32"/>
      <c r="M30" s="65"/>
      <c r="N30" s="65"/>
      <c r="O30" s="65"/>
      <c r="P30" s="65"/>
      <c r="Q30" s="65"/>
      <c r="R30" s="65"/>
      <c r="S30" s="65"/>
      <c r="T30" s="5"/>
      <c r="U30" s="5"/>
      <c r="V30" s="5"/>
      <c r="W30" s="5"/>
      <c r="X30" s="5"/>
      <c r="Y30" s="5"/>
      <c r="Z30" s="5"/>
    </row>
    <row r="31" spans="2:26" ht="23.25" x14ac:dyDescent="0.35">
      <c r="B31" s="32"/>
      <c r="C31" s="32" t="s">
        <v>35</v>
      </c>
      <c r="D31" s="30" t="s">
        <v>74</v>
      </c>
      <c r="E31" s="48" t="s">
        <v>110</v>
      </c>
      <c r="F31" s="32"/>
      <c r="G31" s="32"/>
      <c r="H31" s="32"/>
      <c r="I31" s="32"/>
      <c r="J31" s="32"/>
      <c r="M31" s="65"/>
      <c r="N31" s="65"/>
      <c r="O31" s="65"/>
      <c r="P31" s="65"/>
      <c r="Q31" s="65"/>
      <c r="R31" s="65"/>
      <c r="S31" s="65"/>
      <c r="T31" s="5"/>
      <c r="U31" s="5"/>
      <c r="V31" s="5"/>
      <c r="W31" s="5"/>
      <c r="X31" s="5"/>
      <c r="Y31" s="5"/>
      <c r="Z31" s="5"/>
    </row>
    <row r="32" spans="2:26" ht="23.25" x14ac:dyDescent="0.35">
      <c r="B32" s="32"/>
      <c r="C32" s="32" t="s">
        <v>17</v>
      </c>
      <c r="D32" s="30" t="s">
        <v>74</v>
      </c>
      <c r="E32" s="48" t="s">
        <v>129</v>
      </c>
      <c r="F32" s="32"/>
      <c r="G32" s="32"/>
      <c r="H32" s="32"/>
      <c r="I32" s="32"/>
      <c r="J32" s="32"/>
      <c r="M32" s="65"/>
      <c r="N32" s="65"/>
      <c r="O32" s="65"/>
      <c r="P32" s="65"/>
      <c r="Q32" s="65"/>
      <c r="R32" s="65"/>
      <c r="S32" s="65"/>
      <c r="T32" s="5"/>
      <c r="U32" s="5"/>
      <c r="V32" s="5"/>
      <c r="W32" s="5"/>
      <c r="X32" s="5"/>
      <c r="Y32" s="5"/>
      <c r="Z32" s="5"/>
    </row>
    <row r="33" spans="2:26" ht="23.25" x14ac:dyDescent="0.35">
      <c r="B33" s="32"/>
      <c r="C33" s="32" t="s">
        <v>54</v>
      </c>
      <c r="D33" s="30" t="s">
        <v>74</v>
      </c>
      <c r="E33" s="32" t="s">
        <v>126</v>
      </c>
      <c r="F33" s="32"/>
      <c r="G33" s="32"/>
      <c r="H33" s="32"/>
      <c r="I33" s="32"/>
      <c r="J33" s="32"/>
      <c r="M33" s="65"/>
      <c r="N33" s="65"/>
      <c r="O33" s="65"/>
      <c r="P33" s="65"/>
      <c r="Q33" s="65"/>
      <c r="R33" s="65"/>
      <c r="S33" s="65"/>
      <c r="T33" s="5"/>
      <c r="U33" s="5"/>
      <c r="V33" s="5"/>
      <c r="W33" s="5"/>
      <c r="X33" s="5"/>
      <c r="Y33" s="5"/>
      <c r="Z33" s="5"/>
    </row>
    <row r="34" spans="2:26" ht="23.25" x14ac:dyDescent="0.35">
      <c r="B34" s="32"/>
      <c r="C34" s="32" t="s">
        <v>16</v>
      </c>
      <c r="D34" s="30" t="s">
        <v>74</v>
      </c>
      <c r="E34" s="61" t="s">
        <v>128</v>
      </c>
      <c r="F34" s="32"/>
      <c r="G34" s="32"/>
      <c r="H34" s="32"/>
      <c r="I34" s="32"/>
      <c r="J34" s="32"/>
      <c r="M34" s="65"/>
      <c r="N34" s="65"/>
      <c r="O34" s="65"/>
      <c r="P34" s="65"/>
      <c r="Q34" s="65"/>
      <c r="R34" s="65"/>
      <c r="S34" s="65"/>
      <c r="T34" s="5"/>
      <c r="U34" s="5"/>
      <c r="V34" s="5"/>
      <c r="W34" s="5"/>
      <c r="X34" s="5"/>
      <c r="Y34" s="5"/>
      <c r="Z34" s="5"/>
    </row>
    <row r="35" spans="2:26" ht="23.25" x14ac:dyDescent="0.35">
      <c r="B35" s="32"/>
      <c r="C35" s="32" t="s">
        <v>35</v>
      </c>
      <c r="D35" s="30" t="s">
        <v>74</v>
      </c>
      <c r="E35" s="31" t="s">
        <v>112</v>
      </c>
      <c r="F35" s="32"/>
      <c r="G35" s="32"/>
      <c r="H35" s="32"/>
      <c r="I35" s="32"/>
      <c r="J35" s="32"/>
      <c r="M35" s="65"/>
      <c r="N35" s="65"/>
      <c r="O35" s="65"/>
      <c r="P35" s="65"/>
      <c r="Q35" s="65"/>
      <c r="R35" s="65"/>
      <c r="S35" s="65"/>
      <c r="T35" s="5"/>
      <c r="U35" s="5"/>
      <c r="V35" s="5"/>
      <c r="W35" s="5"/>
      <c r="X35" s="5"/>
      <c r="Y35" s="5"/>
      <c r="Z35" s="5"/>
    </row>
    <row r="36" spans="2:26" ht="23.25" x14ac:dyDescent="0.35">
      <c r="B36" s="32"/>
      <c r="C36" s="32" t="s">
        <v>17</v>
      </c>
      <c r="D36" s="30" t="s">
        <v>74</v>
      </c>
      <c r="E36" s="31" t="s">
        <v>130</v>
      </c>
      <c r="F36" s="32"/>
      <c r="G36" s="32"/>
      <c r="H36" s="32"/>
      <c r="I36" s="32"/>
      <c r="J36" s="32"/>
      <c r="M36" s="65"/>
      <c r="N36" s="65"/>
      <c r="O36" s="65"/>
      <c r="P36" s="65"/>
      <c r="Q36" s="65"/>
      <c r="R36" s="65"/>
      <c r="S36" s="65"/>
      <c r="T36" s="5"/>
      <c r="U36" s="5"/>
      <c r="V36" s="5"/>
      <c r="W36" s="5"/>
      <c r="X36" s="5"/>
      <c r="Y36" s="5"/>
      <c r="Z36" s="5"/>
    </row>
    <row r="37" spans="2:26" ht="23.25" x14ac:dyDescent="0.35">
      <c r="B37" s="32"/>
      <c r="C37" s="32" t="s">
        <v>107</v>
      </c>
      <c r="D37" s="30" t="s">
        <v>74</v>
      </c>
      <c r="E37" s="31" t="s">
        <v>131</v>
      </c>
      <c r="F37" s="32"/>
      <c r="G37" s="32"/>
      <c r="H37" s="32"/>
      <c r="I37" s="32"/>
      <c r="J37" s="32"/>
      <c r="M37" s="65"/>
      <c r="N37" s="65"/>
      <c r="O37" s="65"/>
      <c r="P37" s="65"/>
      <c r="Q37" s="65"/>
      <c r="R37" s="65"/>
      <c r="S37" s="65"/>
      <c r="T37" s="5"/>
      <c r="U37" s="5"/>
      <c r="V37" s="5"/>
      <c r="W37" s="5"/>
      <c r="X37" s="5"/>
      <c r="Y37" s="5"/>
      <c r="Z37" s="5"/>
    </row>
    <row r="38" spans="2:26" ht="23.25" x14ac:dyDescent="0.35">
      <c r="B38" s="32"/>
      <c r="C38" s="32" t="s">
        <v>16</v>
      </c>
      <c r="D38" s="30" t="s">
        <v>74</v>
      </c>
      <c r="E38" s="61" t="s">
        <v>132</v>
      </c>
      <c r="F38" s="32"/>
      <c r="G38" s="32"/>
      <c r="H38" s="32"/>
      <c r="I38" s="32"/>
      <c r="J38" s="32"/>
      <c r="M38" s="65"/>
      <c r="N38" s="65"/>
      <c r="O38" s="65"/>
      <c r="P38" s="65"/>
      <c r="Q38" s="65"/>
      <c r="R38" s="65"/>
      <c r="S38" s="65"/>
      <c r="T38" s="5"/>
      <c r="U38" s="5"/>
      <c r="V38" s="5"/>
      <c r="W38" s="5"/>
      <c r="X38" s="5"/>
      <c r="Y38" s="5"/>
      <c r="Z38" s="5"/>
    </row>
    <row r="39" spans="2:26" ht="23.25" x14ac:dyDescent="0.35">
      <c r="B39" s="32"/>
      <c r="C39" s="32" t="s">
        <v>35</v>
      </c>
      <c r="D39" s="30" t="s">
        <v>74</v>
      </c>
      <c r="E39" s="31" t="s">
        <v>133</v>
      </c>
      <c r="F39" s="32"/>
      <c r="G39" s="32"/>
      <c r="H39" s="32"/>
      <c r="I39" s="32"/>
      <c r="J39" s="32"/>
      <c r="M39" s="65"/>
      <c r="N39" s="65"/>
      <c r="O39" s="65"/>
      <c r="P39" s="65"/>
      <c r="Q39" s="65"/>
      <c r="R39" s="65"/>
      <c r="S39" s="65"/>
      <c r="T39" s="5"/>
      <c r="U39" s="5"/>
      <c r="V39" s="5"/>
      <c r="W39" s="5"/>
      <c r="X39" s="5"/>
      <c r="Y39" s="5"/>
      <c r="Z39" s="5"/>
    </row>
    <row r="40" spans="2:26" ht="23.25" x14ac:dyDescent="0.35">
      <c r="B40" s="32"/>
      <c r="C40" s="32" t="s">
        <v>17</v>
      </c>
      <c r="D40" s="30" t="s">
        <v>74</v>
      </c>
      <c r="E40" s="31" t="s">
        <v>134</v>
      </c>
      <c r="F40" s="32"/>
      <c r="G40" s="32"/>
      <c r="H40" s="32"/>
      <c r="I40" s="32"/>
      <c r="J40" s="32"/>
      <c r="M40" s="70"/>
      <c r="N40" s="70"/>
      <c r="O40" s="70"/>
      <c r="P40" s="70"/>
      <c r="Q40" s="70"/>
      <c r="R40" s="70"/>
      <c r="S40" s="70"/>
      <c r="T40" s="5"/>
      <c r="U40" s="5"/>
      <c r="V40" s="5"/>
      <c r="W40" s="5"/>
      <c r="X40" s="5"/>
      <c r="Y40" s="5"/>
      <c r="Z40" s="5"/>
    </row>
    <row r="41" spans="2:26" ht="23.25" x14ac:dyDescent="0.35">
      <c r="B41" s="32"/>
      <c r="C41" s="32" t="s">
        <v>108</v>
      </c>
      <c r="D41" s="30" t="s">
        <v>74</v>
      </c>
      <c r="E41" s="32" t="s">
        <v>135</v>
      </c>
      <c r="F41" s="32"/>
      <c r="G41" s="32"/>
      <c r="H41" s="32"/>
      <c r="I41" s="32"/>
      <c r="J41" s="32"/>
      <c r="M41" s="66"/>
      <c r="N41" s="66"/>
      <c r="O41" s="66"/>
      <c r="P41" s="66"/>
      <c r="Q41" s="66"/>
      <c r="R41" s="66"/>
      <c r="S41" s="66"/>
      <c r="T41" s="5"/>
      <c r="U41" s="5"/>
      <c r="V41" s="5"/>
      <c r="W41" s="5"/>
      <c r="X41" s="5"/>
      <c r="Y41" s="5"/>
      <c r="Z41" s="5"/>
    </row>
    <row r="42" spans="2:26" ht="23.25" x14ac:dyDescent="0.35">
      <c r="B42" s="32"/>
      <c r="C42" s="32" t="s">
        <v>16</v>
      </c>
      <c r="D42" s="30" t="s">
        <v>74</v>
      </c>
      <c r="E42" s="48" t="s">
        <v>136</v>
      </c>
      <c r="F42" s="32"/>
      <c r="G42" s="32"/>
      <c r="H42" s="32"/>
      <c r="I42" s="32"/>
      <c r="J42" s="32"/>
      <c r="M42" s="66"/>
      <c r="N42" s="66"/>
      <c r="O42" s="66"/>
      <c r="P42" s="66"/>
      <c r="Q42" s="66"/>
      <c r="R42" s="66"/>
      <c r="S42" s="66"/>
      <c r="T42" s="5"/>
      <c r="U42" s="5"/>
      <c r="V42" s="5"/>
      <c r="W42" s="5"/>
      <c r="X42" s="5"/>
      <c r="Y42" s="5"/>
      <c r="Z42" s="5"/>
    </row>
    <row r="43" spans="2:26" ht="23.25" x14ac:dyDescent="0.35">
      <c r="B43" s="32"/>
      <c r="C43" s="32" t="s">
        <v>35</v>
      </c>
      <c r="D43" s="30" t="s">
        <v>74</v>
      </c>
      <c r="E43" s="48" t="s">
        <v>117</v>
      </c>
      <c r="F43" s="32"/>
      <c r="G43" s="32"/>
      <c r="H43" s="32"/>
      <c r="I43" s="32"/>
      <c r="J43" s="32"/>
      <c r="M43" s="66"/>
      <c r="N43" s="66"/>
      <c r="O43" s="66"/>
      <c r="P43" s="66"/>
      <c r="Q43" s="66"/>
      <c r="R43" s="66"/>
      <c r="S43" s="66"/>
      <c r="T43" s="5"/>
      <c r="U43" s="5"/>
      <c r="V43" s="5"/>
      <c r="W43" s="5"/>
      <c r="X43" s="5"/>
      <c r="Y43" s="5"/>
      <c r="Z43" s="5"/>
    </row>
    <row r="44" spans="2:26" ht="23.25" x14ac:dyDescent="0.35">
      <c r="B44" s="32"/>
      <c r="C44" s="32" t="s">
        <v>17</v>
      </c>
      <c r="D44" s="30" t="s">
        <v>74</v>
      </c>
      <c r="E44" s="48" t="s">
        <v>134</v>
      </c>
      <c r="F44" s="32"/>
      <c r="G44" s="32"/>
      <c r="H44" s="32"/>
      <c r="I44" s="32"/>
      <c r="J44" s="32"/>
      <c r="M44" s="66"/>
      <c r="N44" s="66"/>
      <c r="O44" s="66"/>
      <c r="P44" s="66"/>
      <c r="Q44" s="66"/>
      <c r="R44" s="66"/>
      <c r="S44" s="66"/>
      <c r="T44" s="5"/>
      <c r="U44" s="5"/>
      <c r="V44" s="5"/>
      <c r="W44" s="5"/>
      <c r="X44" s="5"/>
      <c r="Y44" s="5"/>
      <c r="Z44" s="5"/>
    </row>
    <row r="45" spans="2:26" ht="23.25" x14ac:dyDescent="0.35">
      <c r="B45" s="32"/>
      <c r="C45" s="32" t="s">
        <v>109</v>
      </c>
      <c r="D45" s="30" t="s">
        <v>74</v>
      </c>
      <c r="E45" s="48" t="s">
        <v>118</v>
      </c>
      <c r="F45" s="32"/>
      <c r="G45" s="32"/>
      <c r="H45" s="32"/>
      <c r="I45" s="32"/>
      <c r="J45" s="32"/>
      <c r="M45" s="66"/>
      <c r="N45" s="66"/>
      <c r="O45" s="66"/>
      <c r="P45" s="66"/>
      <c r="Q45" s="66"/>
      <c r="R45" s="66"/>
      <c r="S45" s="66"/>
      <c r="T45" s="5"/>
      <c r="U45" s="5"/>
      <c r="V45" s="5"/>
      <c r="W45" s="5"/>
      <c r="X45" s="5"/>
      <c r="Y45" s="5"/>
      <c r="Z45" s="5"/>
    </row>
    <row r="46" spans="2:26" ht="23.25" x14ac:dyDescent="0.35">
      <c r="B46" s="32"/>
      <c r="C46" s="32" t="s">
        <v>16</v>
      </c>
      <c r="D46" s="30" t="s">
        <v>74</v>
      </c>
      <c r="E46" s="48" t="s">
        <v>75</v>
      </c>
      <c r="F46" s="32"/>
      <c r="G46" s="32"/>
      <c r="H46" s="32"/>
      <c r="I46" s="32"/>
      <c r="J46" s="32"/>
      <c r="M46" s="66"/>
      <c r="N46" s="66"/>
      <c r="O46" s="66"/>
      <c r="P46" s="66"/>
      <c r="Q46" s="66"/>
      <c r="R46" s="66"/>
      <c r="S46" s="66"/>
      <c r="T46" s="5"/>
      <c r="U46" s="5"/>
      <c r="V46" s="5"/>
      <c r="W46" s="5"/>
      <c r="X46" s="5"/>
      <c r="Y46" s="5"/>
      <c r="Z46" s="5"/>
    </row>
    <row r="47" spans="2:26" ht="23.25" x14ac:dyDescent="0.35">
      <c r="B47" s="32"/>
      <c r="C47" s="32" t="s">
        <v>35</v>
      </c>
      <c r="D47" s="30" t="s">
        <v>74</v>
      </c>
      <c r="E47" s="48" t="s">
        <v>75</v>
      </c>
      <c r="F47" s="32"/>
      <c r="G47" s="32"/>
      <c r="H47" s="32"/>
      <c r="I47" s="32"/>
      <c r="J47" s="32"/>
      <c r="M47" s="66"/>
      <c r="N47" s="66"/>
      <c r="O47" s="66"/>
      <c r="P47" s="66"/>
      <c r="Q47" s="66"/>
      <c r="R47" s="66"/>
      <c r="S47" s="66"/>
      <c r="T47" s="5"/>
      <c r="U47" s="5"/>
      <c r="V47" s="5"/>
      <c r="W47" s="5"/>
      <c r="X47" s="5"/>
      <c r="Y47" s="5"/>
      <c r="Z47" s="5"/>
    </row>
    <row r="48" spans="2:26" ht="23.25" x14ac:dyDescent="0.35">
      <c r="B48" s="32"/>
      <c r="C48" s="32" t="s">
        <v>17</v>
      </c>
      <c r="D48" s="30" t="s">
        <v>74</v>
      </c>
      <c r="E48" s="48" t="s">
        <v>114</v>
      </c>
      <c r="F48" s="32"/>
      <c r="G48" s="32"/>
      <c r="H48" s="32"/>
      <c r="I48" s="32"/>
      <c r="J48" s="32"/>
      <c r="M48" s="66"/>
      <c r="N48" s="66"/>
      <c r="O48" s="66"/>
      <c r="P48" s="66"/>
      <c r="Q48" s="66"/>
      <c r="R48" s="66"/>
      <c r="S48" s="66"/>
      <c r="T48" s="5"/>
      <c r="U48" s="5"/>
      <c r="V48" s="5"/>
      <c r="W48" s="5"/>
      <c r="X48" s="5"/>
      <c r="Y48" s="5"/>
      <c r="Z48" s="5"/>
    </row>
    <row r="49" spans="2:26" ht="23.25" x14ac:dyDescent="0.35">
      <c r="B49" s="32"/>
      <c r="C49" s="32"/>
      <c r="D49" s="30"/>
      <c r="E49" s="48"/>
      <c r="F49" s="32"/>
      <c r="G49" s="32"/>
      <c r="H49" s="32"/>
      <c r="I49" s="32"/>
      <c r="J49" s="32"/>
      <c r="M49" s="66"/>
      <c r="N49" s="66"/>
      <c r="O49" s="66"/>
      <c r="P49" s="66"/>
      <c r="Q49" s="66"/>
      <c r="R49" s="66"/>
      <c r="S49" s="66"/>
      <c r="T49" s="5"/>
      <c r="U49" s="5"/>
      <c r="V49" s="5"/>
      <c r="W49" s="5"/>
      <c r="X49" s="5"/>
      <c r="Y49" s="5"/>
      <c r="Z49" s="5"/>
    </row>
    <row r="50" spans="2:26" ht="23.25" x14ac:dyDescent="0.35">
      <c r="B50" s="60" t="s">
        <v>19</v>
      </c>
      <c r="C50" s="82" t="s">
        <v>142</v>
      </c>
      <c r="D50" s="82"/>
      <c r="E50" s="82"/>
      <c r="F50" s="82"/>
      <c r="G50" s="82"/>
      <c r="H50" s="82"/>
      <c r="I50" s="82"/>
      <c r="J50" s="82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2:26" ht="23.25" x14ac:dyDescent="0.35">
      <c r="B51" s="31"/>
      <c r="C51" s="32" t="s">
        <v>140</v>
      </c>
      <c r="D51" s="32"/>
      <c r="E51" s="32"/>
      <c r="F51" s="32"/>
      <c r="G51" s="32"/>
      <c r="H51" s="32"/>
      <c r="I51" s="32"/>
      <c r="J51" s="31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2:26" ht="23.25" x14ac:dyDescent="0.35">
      <c r="B52" s="31"/>
      <c r="C52" s="32" t="s">
        <v>138</v>
      </c>
      <c r="D52" s="32"/>
      <c r="E52" s="32"/>
      <c r="F52" s="32"/>
      <c r="G52" s="32"/>
      <c r="H52" s="32"/>
      <c r="I52" s="32"/>
      <c r="J52" s="31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2:26" ht="23.25" x14ac:dyDescent="0.35">
      <c r="B53" s="31"/>
      <c r="C53" s="32" t="s">
        <v>141</v>
      </c>
      <c r="D53" s="32"/>
      <c r="E53" s="32"/>
      <c r="F53" s="32"/>
      <c r="G53" s="32"/>
      <c r="H53" s="32"/>
      <c r="I53" s="32"/>
      <c r="J53" s="31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2:26" ht="23.25" x14ac:dyDescent="0.35">
      <c r="B54" s="31"/>
      <c r="C54" s="32"/>
      <c r="D54" s="32"/>
      <c r="E54" s="32"/>
      <c r="F54" s="32"/>
      <c r="G54" s="32"/>
      <c r="H54" s="32"/>
      <c r="I54" s="32"/>
      <c r="J54" s="31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2:26" ht="23.25" x14ac:dyDescent="0.35">
      <c r="B55" s="31"/>
      <c r="C55" s="31"/>
      <c r="D55" s="31"/>
      <c r="E55" s="31"/>
      <c r="F55" s="32" t="s">
        <v>21</v>
      </c>
      <c r="I55" s="31"/>
      <c r="J55" s="31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2:26" ht="23.25" x14ac:dyDescent="0.35">
      <c r="B56" s="31"/>
      <c r="C56" s="31"/>
      <c r="D56" s="31"/>
      <c r="E56" s="31"/>
      <c r="F56" s="32" t="s">
        <v>84</v>
      </c>
      <c r="I56" s="61" t="s">
        <v>137</v>
      </c>
      <c r="J56" s="31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2:26" ht="23.25" x14ac:dyDescent="0.35">
      <c r="B57" s="31"/>
      <c r="C57" s="31"/>
      <c r="D57" s="31"/>
      <c r="E57" s="31"/>
      <c r="F57" s="32" t="s">
        <v>22</v>
      </c>
      <c r="I57" s="31"/>
      <c r="J57" s="31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2:26" ht="23.25" x14ac:dyDescent="0.35">
      <c r="B58" s="31"/>
      <c r="C58" s="31"/>
      <c r="D58" s="31"/>
      <c r="E58" s="31"/>
      <c r="F58" s="32" t="s">
        <v>23</v>
      </c>
      <c r="I58" s="31"/>
      <c r="J58" s="31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2:26" ht="23.25" x14ac:dyDescent="0.35">
      <c r="B59" s="31"/>
      <c r="C59" s="31"/>
      <c r="D59" s="31"/>
      <c r="E59" s="31"/>
      <c r="F59" s="32"/>
      <c r="I59" s="31"/>
      <c r="J59" s="31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2:26" ht="23.25" x14ac:dyDescent="0.35">
      <c r="B60" s="31"/>
      <c r="C60" s="31"/>
      <c r="D60" s="31"/>
      <c r="E60" s="31"/>
      <c r="F60" s="32"/>
      <c r="I60" s="31"/>
      <c r="J60" s="31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2:26" ht="23.25" x14ac:dyDescent="0.35">
      <c r="B61" s="31"/>
      <c r="C61" s="31"/>
      <c r="D61" s="31"/>
      <c r="E61" s="31"/>
      <c r="F61" s="32"/>
      <c r="I61" s="31"/>
      <c r="J61" s="31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2:26" ht="23.25" x14ac:dyDescent="0.35">
      <c r="B62" s="31"/>
      <c r="C62" s="31"/>
      <c r="D62" s="31"/>
      <c r="E62" s="31"/>
      <c r="F62" s="64" t="s">
        <v>20</v>
      </c>
      <c r="I62" s="31"/>
      <c r="J62" s="31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2:26" ht="23.25" x14ac:dyDescent="0.35">
      <c r="B63" s="31"/>
      <c r="C63" s="31"/>
      <c r="D63" s="31"/>
      <c r="E63" s="31"/>
      <c r="F63" s="32" t="s">
        <v>24</v>
      </c>
      <c r="I63" s="31"/>
      <c r="J63" s="31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</sheetData>
  <mergeCells count="31">
    <mergeCell ref="B1:J1"/>
    <mergeCell ref="B2:J2"/>
    <mergeCell ref="B3:J3"/>
    <mergeCell ref="B4:J4"/>
    <mergeCell ref="C50:J50"/>
    <mergeCell ref="T13:Z13"/>
    <mergeCell ref="T14:Z14"/>
    <mergeCell ref="B15:J15"/>
    <mergeCell ref="B6:J6"/>
    <mergeCell ref="B7:J7"/>
    <mergeCell ref="M17:S17"/>
    <mergeCell ref="T17:Z19"/>
    <mergeCell ref="M20:S20"/>
    <mergeCell ref="T20:Z20"/>
    <mergeCell ref="L1:Z1"/>
    <mergeCell ref="L2:Z2"/>
    <mergeCell ref="L3:Z3"/>
    <mergeCell ref="L4:Z4"/>
    <mergeCell ref="M15:S15"/>
    <mergeCell ref="M16:S16"/>
    <mergeCell ref="T15:Z15"/>
    <mergeCell ref="T16:Z16"/>
    <mergeCell ref="M10:Z10"/>
    <mergeCell ref="M12:S12"/>
    <mergeCell ref="T12:Z12"/>
    <mergeCell ref="M13:S14"/>
    <mergeCell ref="M21:S21"/>
    <mergeCell ref="M22:S22"/>
    <mergeCell ref="M23:S23"/>
    <mergeCell ref="M24:S24"/>
    <mergeCell ref="M40:S40"/>
  </mergeCells>
  <hyperlinks>
    <hyperlink ref="B4" r:id="rId1" display="mailto:smpn2.karangtengahdemak@yahoo.co.id" xr:uid="{66CB4FEC-25A1-4FC5-90F0-DC18F1618C1B}"/>
  </hyperlinks>
  <printOptions horizontalCentered="1"/>
  <pageMargins left="0.19685039370078741" right="0.19685039370078741" top="0.19685039370078741" bottom="0.19685039370078741" header="0.19685039370078741" footer="0.19685039370078741"/>
  <pageSetup paperSize="5" scale="65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24ABE-DCD5-431B-9618-28C9492BD580}">
  <dimension ref="B1:J111"/>
  <sheetViews>
    <sheetView view="pageBreakPreview" topLeftCell="A49" zoomScale="70" zoomScaleNormal="100" zoomScaleSheetLayoutView="70" workbookViewId="0">
      <selection activeCell="A66" sqref="A66:XFD66"/>
    </sheetView>
  </sheetViews>
  <sheetFormatPr defaultRowHeight="15" x14ac:dyDescent="0.25"/>
  <cols>
    <col min="2" max="2" width="5" customWidth="1"/>
    <col min="3" max="3" width="16.28515625" customWidth="1"/>
    <col min="6" max="6" width="10.42578125" customWidth="1"/>
    <col min="7" max="7" width="2.85546875" customWidth="1"/>
    <col min="8" max="8" width="14.140625" customWidth="1"/>
    <col min="9" max="9" width="4.85546875" customWidth="1"/>
    <col min="10" max="10" width="29.85546875" customWidth="1"/>
  </cols>
  <sheetData>
    <row r="1" spans="2:10" x14ac:dyDescent="0.25">
      <c r="B1" s="73" t="s">
        <v>0</v>
      </c>
      <c r="C1" s="73"/>
      <c r="D1" s="73"/>
      <c r="E1" s="73"/>
      <c r="F1" s="73"/>
      <c r="G1" s="73"/>
      <c r="H1" s="73"/>
      <c r="I1" s="73"/>
      <c r="J1" s="73"/>
    </row>
    <row r="2" spans="2:10" ht="23.25" x14ac:dyDescent="0.25">
      <c r="B2" s="74" t="s">
        <v>1</v>
      </c>
      <c r="C2" s="74"/>
      <c r="D2" s="74"/>
      <c r="E2" s="74"/>
      <c r="F2" s="74"/>
      <c r="G2" s="74"/>
      <c r="H2" s="74"/>
      <c r="I2" s="74"/>
      <c r="J2" s="74"/>
    </row>
    <row r="3" spans="2:10" x14ac:dyDescent="0.25">
      <c r="B3" s="73" t="s">
        <v>2</v>
      </c>
      <c r="C3" s="73"/>
      <c r="D3" s="73"/>
      <c r="E3" s="73"/>
      <c r="F3" s="73"/>
      <c r="G3" s="73"/>
      <c r="H3" s="73"/>
      <c r="I3" s="73"/>
      <c r="J3" s="73"/>
    </row>
    <row r="4" spans="2:10" x14ac:dyDescent="0.25">
      <c r="B4" s="75" t="s">
        <v>3</v>
      </c>
      <c r="C4" s="75"/>
      <c r="D4" s="75"/>
      <c r="E4" s="75"/>
      <c r="F4" s="75"/>
      <c r="G4" s="75"/>
      <c r="H4" s="75"/>
      <c r="I4" s="75"/>
      <c r="J4" s="75"/>
    </row>
    <row r="6" spans="2:10" ht="15.75" x14ac:dyDescent="0.25">
      <c r="B6" s="3"/>
      <c r="C6" s="3"/>
      <c r="D6" s="3"/>
      <c r="E6" s="3"/>
      <c r="F6" s="3"/>
      <c r="G6" s="3"/>
      <c r="H6" s="3" t="s">
        <v>25</v>
      </c>
      <c r="I6" s="21" t="s">
        <v>26</v>
      </c>
      <c r="J6" s="3"/>
    </row>
    <row r="7" spans="2:10" ht="15.75" x14ac:dyDescent="0.25">
      <c r="B7" s="3"/>
      <c r="C7" s="3"/>
      <c r="D7" s="3"/>
      <c r="E7" s="3"/>
      <c r="F7" s="3"/>
      <c r="G7" s="3"/>
      <c r="H7" s="3" t="s">
        <v>27</v>
      </c>
      <c r="I7" s="21" t="s">
        <v>26</v>
      </c>
      <c r="J7" s="3"/>
    </row>
    <row r="8" spans="2:10" ht="15.75" x14ac:dyDescent="0.25">
      <c r="B8" s="3"/>
      <c r="C8" s="3"/>
      <c r="D8" s="3"/>
      <c r="E8" s="3"/>
      <c r="F8" s="3"/>
      <c r="G8" s="3"/>
      <c r="H8" s="3" t="s">
        <v>28</v>
      </c>
      <c r="I8" s="21" t="s">
        <v>26</v>
      </c>
      <c r="J8" s="3" t="str">
        <f>Sheet1!B7</f>
        <v>No : 800/…................./2025</v>
      </c>
    </row>
    <row r="9" spans="2:10" ht="15.75" x14ac:dyDescent="0.25">
      <c r="B9" s="3"/>
      <c r="C9" s="3"/>
      <c r="D9" s="3"/>
      <c r="E9" s="3"/>
      <c r="F9" s="3"/>
      <c r="G9" s="3"/>
      <c r="H9" s="3"/>
      <c r="I9" s="3"/>
      <c r="J9" s="3"/>
    </row>
    <row r="10" spans="2:10" ht="15.75" x14ac:dyDescent="0.25">
      <c r="B10" s="3"/>
      <c r="C10" s="114" t="s">
        <v>29</v>
      </c>
      <c r="D10" s="114"/>
      <c r="E10" s="114"/>
      <c r="F10" s="114"/>
      <c r="G10" s="114"/>
      <c r="H10" s="114"/>
      <c r="I10" s="114"/>
      <c r="J10" s="114"/>
    </row>
    <row r="11" spans="2:10" ht="15.75" x14ac:dyDescent="0.25">
      <c r="B11" s="3"/>
      <c r="C11" s="28"/>
      <c r="D11" s="28"/>
      <c r="E11" s="28"/>
      <c r="F11" s="28"/>
      <c r="G11" s="28"/>
      <c r="H11" s="28"/>
      <c r="I11" s="28"/>
      <c r="J11" s="28"/>
    </row>
    <row r="12" spans="2:10" x14ac:dyDescent="0.25">
      <c r="B12" s="33" t="s">
        <v>55</v>
      </c>
      <c r="C12" s="102" t="s">
        <v>39</v>
      </c>
      <c r="D12" s="103"/>
      <c r="E12" s="103"/>
      <c r="F12" s="103"/>
      <c r="G12" s="102" t="s">
        <v>34</v>
      </c>
      <c r="H12" s="103"/>
      <c r="I12" s="103"/>
      <c r="J12" s="104"/>
    </row>
    <row r="13" spans="2:10" x14ac:dyDescent="0.25">
      <c r="B13" s="115" t="s">
        <v>56</v>
      </c>
      <c r="C13" s="126" t="s">
        <v>30</v>
      </c>
      <c r="D13" s="86"/>
      <c r="E13" s="86"/>
      <c r="F13" s="125"/>
      <c r="G13" s="34" t="s">
        <v>36</v>
      </c>
      <c r="H13" s="86" t="str">
        <f>Sheet1!E17</f>
        <v>Supriyono, S.Pd.</v>
      </c>
      <c r="I13" s="86"/>
      <c r="J13" s="125"/>
    </row>
    <row r="14" spans="2:10" x14ac:dyDescent="0.25">
      <c r="B14" s="116"/>
      <c r="C14" s="87"/>
      <c r="D14" s="88"/>
      <c r="E14" s="88"/>
      <c r="F14" s="97"/>
      <c r="G14" s="38" t="s">
        <v>37</v>
      </c>
      <c r="H14" s="90" t="str">
        <f>Sheet1!E18</f>
        <v>196808212006041008</v>
      </c>
      <c r="I14" s="90"/>
      <c r="J14" s="99"/>
    </row>
    <row r="15" spans="2:10" x14ac:dyDescent="0.25">
      <c r="B15" s="116"/>
      <c r="C15" s="87"/>
      <c r="D15" s="88"/>
      <c r="E15" s="88"/>
      <c r="F15" s="97"/>
      <c r="G15" s="43" t="s">
        <v>36</v>
      </c>
      <c r="H15" s="88" t="str">
        <f>Sheet1!E21</f>
        <v>Malihatun Ni'mah, S.Si.</v>
      </c>
      <c r="I15" s="88"/>
      <c r="J15" s="97"/>
    </row>
    <row r="16" spans="2:10" x14ac:dyDescent="0.25">
      <c r="B16" s="116"/>
      <c r="C16" s="87"/>
      <c r="D16" s="88"/>
      <c r="E16" s="88"/>
      <c r="F16" s="97"/>
      <c r="G16" s="38" t="s">
        <v>66</v>
      </c>
      <c r="H16" s="90" t="str">
        <f>Sheet1!E18</f>
        <v>196808212006041008</v>
      </c>
      <c r="I16" s="90"/>
      <c r="J16" s="99"/>
    </row>
    <row r="17" spans="2:10" x14ac:dyDescent="0.25">
      <c r="B17" s="116"/>
      <c r="C17" s="87"/>
      <c r="D17" s="88"/>
      <c r="E17" s="88"/>
      <c r="F17" s="97"/>
      <c r="G17" s="34" t="s">
        <v>36</v>
      </c>
      <c r="H17" s="86" t="str">
        <f>Sheet1!E25</f>
        <v>Khoirun Ni'am, S.E.</v>
      </c>
      <c r="I17" s="86"/>
      <c r="J17" s="125"/>
    </row>
    <row r="18" spans="2:10" x14ac:dyDescent="0.25">
      <c r="B18" s="116"/>
      <c r="C18" s="87"/>
      <c r="D18" s="88"/>
      <c r="E18" s="88"/>
      <c r="F18" s="97"/>
      <c r="G18" s="38" t="s">
        <v>37</v>
      </c>
      <c r="H18" s="90" t="str">
        <f>Sheet1!E26</f>
        <v>198402282022211014</v>
      </c>
      <c r="I18" s="90"/>
      <c r="J18" s="99"/>
    </row>
    <row r="19" spans="2:10" x14ac:dyDescent="0.25">
      <c r="B19" s="116"/>
      <c r="C19" s="87"/>
      <c r="D19" s="88"/>
      <c r="E19" s="88"/>
      <c r="F19" s="97"/>
      <c r="G19" s="43" t="s">
        <v>36</v>
      </c>
      <c r="H19" s="88" t="str">
        <f>Sheet1!E29</f>
        <v>Paulus Mauljono, S.Pd.</v>
      </c>
      <c r="I19" s="88"/>
      <c r="J19" s="97"/>
    </row>
    <row r="20" spans="2:10" x14ac:dyDescent="0.25">
      <c r="B20" s="116"/>
      <c r="C20" s="87"/>
      <c r="D20" s="88"/>
      <c r="E20" s="88"/>
      <c r="F20" s="97"/>
      <c r="G20" s="38" t="s">
        <v>66</v>
      </c>
      <c r="H20" s="90" t="str">
        <f>Sheet1!E30</f>
        <v>196609271989031007</v>
      </c>
      <c r="I20" s="90"/>
      <c r="J20" s="99"/>
    </row>
    <row r="21" spans="2:10" x14ac:dyDescent="0.25">
      <c r="B21" s="116"/>
      <c r="C21" s="87"/>
      <c r="D21" s="88"/>
      <c r="E21" s="88"/>
      <c r="F21" s="97"/>
      <c r="G21" s="34" t="s">
        <v>36</v>
      </c>
      <c r="H21" s="86" t="str">
        <f>Sheet1!E33</f>
        <v>Dewi Nur Khalimah, S.Pd., M.Pd.</v>
      </c>
      <c r="I21" s="86"/>
      <c r="J21" s="125"/>
    </row>
    <row r="22" spans="2:10" x14ac:dyDescent="0.25">
      <c r="B22" s="116"/>
      <c r="C22" s="87"/>
      <c r="D22" s="88"/>
      <c r="E22" s="88"/>
      <c r="F22" s="97"/>
      <c r="G22" s="38" t="s">
        <v>37</v>
      </c>
      <c r="H22" s="90" t="str">
        <f>Sheet1!E33</f>
        <v>Dewi Nur Khalimah, S.Pd., M.Pd.</v>
      </c>
      <c r="I22" s="90"/>
      <c r="J22" s="99"/>
    </row>
    <row r="23" spans="2:10" x14ac:dyDescent="0.25">
      <c r="B23" s="116"/>
      <c r="C23" s="87"/>
      <c r="D23" s="88"/>
      <c r="E23" s="88"/>
      <c r="F23" s="97"/>
      <c r="G23" s="43" t="s">
        <v>36</v>
      </c>
      <c r="H23" s="88" t="str">
        <f>Sheet1!E37</f>
        <v>Septia Nurkhalisa, S.Pd.</v>
      </c>
      <c r="I23" s="88"/>
      <c r="J23" s="97"/>
    </row>
    <row r="24" spans="2:10" x14ac:dyDescent="0.25">
      <c r="B24" s="116"/>
      <c r="C24" s="87"/>
      <c r="D24" s="88"/>
      <c r="E24" s="88"/>
      <c r="F24" s="97"/>
      <c r="G24" s="38" t="s">
        <v>66</v>
      </c>
      <c r="H24" s="90" t="str">
        <f>Sheet1!E38</f>
        <v>199709062020122024</v>
      </c>
      <c r="I24" s="90"/>
      <c r="J24" s="99"/>
    </row>
    <row r="25" spans="2:10" x14ac:dyDescent="0.25">
      <c r="B25" s="116"/>
      <c r="C25" s="87"/>
      <c r="D25" s="88"/>
      <c r="E25" s="88"/>
      <c r="F25" s="97"/>
      <c r="G25" s="34" t="s">
        <v>36</v>
      </c>
      <c r="H25" s="86" t="str">
        <f>Sheet1!E41</f>
        <v>Lulu' Aulia, S.Pd.</v>
      </c>
      <c r="I25" s="86"/>
      <c r="J25" s="125"/>
    </row>
    <row r="26" spans="2:10" x14ac:dyDescent="0.25">
      <c r="B26" s="116"/>
      <c r="C26" s="87"/>
      <c r="D26" s="88"/>
      <c r="E26" s="88"/>
      <c r="F26" s="97"/>
      <c r="G26" s="38" t="s">
        <v>37</v>
      </c>
      <c r="H26" s="90" t="str">
        <f>Sheet1!E42</f>
        <v>198704072022212005</v>
      </c>
      <c r="I26" s="90"/>
      <c r="J26" s="99"/>
    </row>
    <row r="27" spans="2:10" x14ac:dyDescent="0.25">
      <c r="B27" s="116"/>
      <c r="C27" s="87"/>
      <c r="D27" s="88"/>
      <c r="E27" s="88"/>
      <c r="F27" s="97"/>
      <c r="G27" s="43" t="s">
        <v>36</v>
      </c>
      <c r="H27" s="88" t="str">
        <f>Sheet1!E45</f>
        <v>M. Nailul I'dad Firdaus, S.Pd.</v>
      </c>
      <c r="I27" s="88"/>
      <c r="J27" s="97"/>
    </row>
    <row r="28" spans="2:10" x14ac:dyDescent="0.25">
      <c r="B28" s="116"/>
      <c r="C28" s="87"/>
      <c r="D28" s="88"/>
      <c r="E28" s="88"/>
      <c r="F28" s="97"/>
      <c r="G28" s="38" t="s">
        <v>66</v>
      </c>
      <c r="H28" s="90" t="str">
        <f>Sheet1!E46</f>
        <v>-</v>
      </c>
      <c r="I28" s="90"/>
      <c r="J28" s="99"/>
    </row>
    <row r="29" spans="2:10" ht="15" customHeight="1" x14ac:dyDescent="0.25">
      <c r="B29" s="115" t="s">
        <v>57</v>
      </c>
      <c r="C29" s="105" t="s">
        <v>31</v>
      </c>
      <c r="D29" s="106"/>
      <c r="E29" s="106"/>
      <c r="F29" s="107"/>
      <c r="G29" s="34" t="s">
        <v>36</v>
      </c>
      <c r="H29" s="86" t="str">
        <f>Sheet1!E19</f>
        <v>Penata Tingkat I, III/d</v>
      </c>
      <c r="I29" s="86"/>
      <c r="J29" s="125"/>
    </row>
    <row r="30" spans="2:10" x14ac:dyDescent="0.25">
      <c r="B30" s="116"/>
      <c r="C30" s="108"/>
      <c r="D30" s="109"/>
      <c r="E30" s="109"/>
      <c r="F30" s="110"/>
      <c r="G30" s="38" t="s">
        <v>37</v>
      </c>
      <c r="H30" s="90" t="str">
        <f>Sheet1!E20</f>
        <v>Wakil Kepala Sekolah, Waka Kesiswaan</v>
      </c>
      <c r="I30" s="90"/>
      <c r="J30" s="99"/>
    </row>
    <row r="31" spans="2:10" x14ac:dyDescent="0.25">
      <c r="B31" s="116"/>
      <c r="C31" s="108"/>
      <c r="D31" s="109"/>
      <c r="E31" s="109"/>
      <c r="F31" s="110"/>
      <c r="G31" s="34" t="s">
        <v>36</v>
      </c>
      <c r="H31" s="86" t="str">
        <f>Sheet1!E23</f>
        <v>Penata Tingkat I, III/d</v>
      </c>
      <c r="I31" s="86"/>
      <c r="J31" s="125"/>
    </row>
    <row r="32" spans="2:10" x14ac:dyDescent="0.25">
      <c r="B32" s="116"/>
      <c r="C32" s="108"/>
      <c r="D32" s="109"/>
      <c r="E32" s="109"/>
      <c r="F32" s="110"/>
      <c r="G32" s="38" t="s">
        <v>37</v>
      </c>
      <c r="H32" s="90" t="str">
        <f>Sheet1!E24</f>
        <v>Waka Kurikurum</v>
      </c>
      <c r="I32" s="90"/>
      <c r="J32" s="99"/>
    </row>
    <row r="33" spans="2:10" x14ac:dyDescent="0.25">
      <c r="B33" s="116"/>
      <c r="C33" s="108"/>
      <c r="D33" s="109"/>
      <c r="E33" s="109"/>
      <c r="F33" s="110"/>
      <c r="G33" s="34" t="s">
        <v>36</v>
      </c>
      <c r="H33" s="86" t="str">
        <f>Sheet1!E27</f>
        <v>IX</v>
      </c>
      <c r="I33" s="86"/>
      <c r="J33" s="125"/>
    </row>
    <row r="34" spans="2:10" x14ac:dyDescent="0.25">
      <c r="B34" s="116"/>
      <c r="C34" s="108"/>
      <c r="D34" s="109"/>
      <c r="E34" s="109"/>
      <c r="F34" s="110"/>
      <c r="G34" s="38" t="s">
        <v>37</v>
      </c>
      <c r="H34" s="90" t="str">
        <f>Sheet1!E28</f>
        <v>Waka Sarpras</v>
      </c>
      <c r="I34" s="90"/>
      <c r="J34" s="99"/>
    </row>
    <row r="35" spans="2:10" x14ac:dyDescent="0.25">
      <c r="B35" s="116"/>
      <c r="C35" s="108"/>
      <c r="D35" s="109"/>
      <c r="E35" s="109"/>
      <c r="F35" s="110"/>
      <c r="G35" s="34" t="s">
        <v>36</v>
      </c>
      <c r="H35" s="86" t="str">
        <f>Sheet1!E31</f>
        <v>Pembina Utama Muda, IV/c</v>
      </c>
      <c r="I35" s="86"/>
      <c r="J35" s="125"/>
    </row>
    <row r="36" spans="2:10" x14ac:dyDescent="0.25">
      <c r="B36" s="116"/>
      <c r="C36" s="108"/>
      <c r="D36" s="109"/>
      <c r="E36" s="109"/>
      <c r="F36" s="110"/>
      <c r="G36" s="38" t="s">
        <v>37</v>
      </c>
      <c r="H36" s="90" t="str">
        <f>Sheet1!E32</f>
        <v>Guru Ahli Madya</v>
      </c>
      <c r="I36" s="90"/>
      <c r="J36" s="99"/>
    </row>
    <row r="37" spans="2:10" x14ac:dyDescent="0.25">
      <c r="B37" s="116"/>
      <c r="C37" s="108"/>
      <c r="D37" s="109"/>
      <c r="E37" s="109"/>
      <c r="F37" s="110"/>
      <c r="G37" s="34" t="s">
        <v>36</v>
      </c>
      <c r="H37" s="86" t="str">
        <f>Sheet1!E35</f>
        <v>Penata Tingkat I, III/d</v>
      </c>
      <c r="I37" s="86"/>
      <c r="J37" s="125"/>
    </row>
    <row r="38" spans="2:10" x14ac:dyDescent="0.25">
      <c r="B38" s="116"/>
      <c r="C38" s="111"/>
      <c r="D38" s="112"/>
      <c r="E38" s="112"/>
      <c r="F38" s="113"/>
      <c r="G38" s="38" t="s">
        <v>37</v>
      </c>
      <c r="H38" s="90" t="str">
        <f>Sheet1!E36</f>
        <v>Guru Ahli Muda</v>
      </c>
      <c r="I38" s="90"/>
      <c r="J38" s="99"/>
    </row>
    <row r="39" spans="2:10" x14ac:dyDescent="0.25">
      <c r="B39" s="116"/>
      <c r="C39" s="108" t="s">
        <v>32</v>
      </c>
      <c r="D39" s="109"/>
      <c r="E39" s="109"/>
      <c r="F39" s="110"/>
      <c r="G39" s="34" t="s">
        <v>36</v>
      </c>
      <c r="H39" s="86" t="str">
        <f>Sheet1!E39</f>
        <v>Penata Muda, III/a</v>
      </c>
      <c r="I39" s="86"/>
      <c r="J39" s="125"/>
    </row>
    <row r="40" spans="2:10" x14ac:dyDescent="0.25">
      <c r="B40" s="116"/>
      <c r="C40" s="108"/>
      <c r="D40" s="109"/>
      <c r="E40" s="109"/>
      <c r="F40" s="110"/>
      <c r="G40" s="38" t="s">
        <v>37</v>
      </c>
      <c r="H40" s="90" t="str">
        <f>Sheet1!E40</f>
        <v>Guru Ahli Pertama</v>
      </c>
      <c r="I40" s="90"/>
      <c r="J40" s="99"/>
    </row>
    <row r="41" spans="2:10" x14ac:dyDescent="0.25">
      <c r="B41" s="116"/>
      <c r="C41" s="108"/>
      <c r="D41" s="109"/>
      <c r="E41" s="109"/>
      <c r="F41" s="110"/>
      <c r="G41" s="34" t="s">
        <v>36</v>
      </c>
      <c r="H41" s="86" t="str">
        <f>Sheet1!E43</f>
        <v>IX</v>
      </c>
      <c r="I41" s="86"/>
      <c r="J41" s="125"/>
    </row>
    <row r="42" spans="2:10" x14ac:dyDescent="0.25">
      <c r="B42" s="116"/>
      <c r="C42" s="108"/>
      <c r="D42" s="109"/>
      <c r="E42" s="109"/>
      <c r="F42" s="110"/>
      <c r="G42" s="38" t="s">
        <v>37</v>
      </c>
      <c r="H42" s="90" t="str">
        <f>Sheet1!E44</f>
        <v>Guru Ahli Pertama</v>
      </c>
      <c r="I42" s="90"/>
      <c r="J42" s="99"/>
    </row>
    <row r="43" spans="2:10" x14ac:dyDescent="0.25">
      <c r="B43" s="116"/>
      <c r="C43" s="108"/>
      <c r="D43" s="109"/>
      <c r="E43" s="109"/>
      <c r="F43" s="110"/>
      <c r="G43" s="34" t="s">
        <v>36</v>
      </c>
      <c r="H43" s="86" t="str">
        <f>Sheet1!E47</f>
        <v>-</v>
      </c>
      <c r="I43" s="86"/>
      <c r="J43" s="125"/>
    </row>
    <row r="44" spans="2:10" x14ac:dyDescent="0.25">
      <c r="B44" s="116"/>
      <c r="C44" s="108"/>
      <c r="D44" s="109"/>
      <c r="E44" s="109"/>
      <c r="F44" s="110"/>
      <c r="G44" s="38" t="s">
        <v>37</v>
      </c>
      <c r="H44" s="90" t="str">
        <f>Sheet1!E48</f>
        <v>Guru Pembina</v>
      </c>
      <c r="I44" s="90"/>
      <c r="J44" s="99"/>
    </row>
    <row r="45" spans="2:10" ht="15.75" x14ac:dyDescent="0.25">
      <c r="B45" s="117"/>
      <c r="C45" s="142" t="s">
        <v>33</v>
      </c>
      <c r="D45" s="142"/>
      <c r="E45" s="142"/>
      <c r="F45" s="142"/>
      <c r="G45" s="38" t="s">
        <v>36</v>
      </c>
      <c r="H45" s="90" t="s">
        <v>75</v>
      </c>
      <c r="I45" s="90"/>
      <c r="J45" s="99"/>
    </row>
    <row r="46" spans="2:10" ht="0.75" customHeight="1" x14ac:dyDescent="0.25">
      <c r="B46" s="115" t="s">
        <v>58</v>
      </c>
      <c r="C46" s="86" t="s">
        <v>38</v>
      </c>
      <c r="D46" s="86"/>
      <c r="E46" s="86"/>
      <c r="F46" s="86"/>
      <c r="G46" s="105" t="str">
        <f>Sheet1!C50</f>
        <v>Melaksanakan Praktik Baik (Outing Class)</v>
      </c>
      <c r="H46" s="106"/>
      <c r="I46" s="106"/>
      <c r="J46" s="107"/>
    </row>
    <row r="47" spans="2:10" x14ac:dyDescent="0.25">
      <c r="B47" s="116"/>
      <c r="C47" s="87"/>
      <c r="D47" s="88"/>
      <c r="E47" s="88"/>
      <c r="F47" s="88"/>
      <c r="G47" s="108"/>
      <c r="H47" s="109"/>
      <c r="I47" s="109"/>
      <c r="J47" s="110"/>
    </row>
    <row r="48" spans="2:10" ht="18.75" customHeight="1" x14ac:dyDescent="0.25">
      <c r="B48" s="117"/>
      <c r="C48" s="89"/>
      <c r="D48" s="90"/>
      <c r="E48" s="90"/>
      <c r="F48" s="90"/>
      <c r="G48" s="111"/>
      <c r="H48" s="112"/>
      <c r="I48" s="112"/>
      <c r="J48" s="113"/>
    </row>
    <row r="49" spans="2:10" ht="15.75" x14ac:dyDescent="0.25">
      <c r="B49" s="33" t="s">
        <v>59</v>
      </c>
      <c r="C49" s="121" t="s">
        <v>40</v>
      </c>
      <c r="D49" s="91"/>
      <c r="E49" s="91"/>
      <c r="F49" s="91"/>
      <c r="G49" s="34" t="s">
        <v>41</v>
      </c>
      <c r="H49" s="35"/>
      <c r="I49" s="35"/>
      <c r="J49" s="36"/>
    </row>
    <row r="50" spans="2:10" ht="15.75" x14ac:dyDescent="0.25">
      <c r="B50" s="115" t="s">
        <v>68</v>
      </c>
      <c r="C50" s="93" t="s">
        <v>42</v>
      </c>
      <c r="D50" s="93"/>
      <c r="E50" s="93"/>
      <c r="F50" s="93"/>
      <c r="G50" s="14" t="s">
        <v>36</v>
      </c>
      <c r="H50" s="3" t="s">
        <v>103</v>
      </c>
      <c r="I50" s="3"/>
      <c r="J50" s="13"/>
    </row>
    <row r="51" spans="2:10" ht="34.5" customHeight="1" x14ac:dyDescent="0.25">
      <c r="B51" s="117"/>
      <c r="C51" s="83" t="s">
        <v>43</v>
      </c>
      <c r="D51" s="84"/>
      <c r="E51" s="84"/>
      <c r="F51" s="84"/>
      <c r="G51" s="68" t="s">
        <v>66</v>
      </c>
      <c r="H51" s="127" t="str">
        <f>Sheet1!$C$51</f>
        <v>Kembang Langit, Kab. Batang</v>
      </c>
      <c r="I51" s="127"/>
      <c r="J51" s="128"/>
    </row>
    <row r="52" spans="2:10" ht="15.75" x14ac:dyDescent="0.25">
      <c r="B52" s="41" t="s">
        <v>69</v>
      </c>
      <c r="C52" s="91" t="s">
        <v>45</v>
      </c>
      <c r="D52" s="91"/>
      <c r="E52" s="91"/>
      <c r="F52" s="91"/>
      <c r="G52" s="19" t="s">
        <v>65</v>
      </c>
      <c r="H52" s="11" t="s">
        <v>121</v>
      </c>
      <c r="I52" s="11"/>
      <c r="J52" s="12"/>
    </row>
    <row r="53" spans="2:10" ht="15.75" x14ac:dyDescent="0.25">
      <c r="B53" s="45"/>
      <c r="C53" s="92" t="s">
        <v>46</v>
      </c>
      <c r="D53" s="93"/>
      <c r="E53" s="93"/>
      <c r="F53" s="93"/>
      <c r="G53" s="14" t="s">
        <v>66</v>
      </c>
      <c r="H53" s="3" t="str">
        <f>Sheet1!I56</f>
        <v>29 April 2025</v>
      </c>
      <c r="I53" s="3"/>
      <c r="J53" s="13"/>
    </row>
    <row r="54" spans="2:10" x14ac:dyDescent="0.25">
      <c r="B54" s="46"/>
      <c r="C54" s="111" t="s">
        <v>47</v>
      </c>
      <c r="D54" s="112"/>
      <c r="E54" s="112"/>
      <c r="F54" s="112"/>
      <c r="G54" s="38" t="s">
        <v>48</v>
      </c>
      <c r="H54" s="63" t="str">
        <f>H53</f>
        <v>29 April 2025</v>
      </c>
      <c r="I54" s="39"/>
      <c r="J54" s="40"/>
    </row>
    <row r="55" spans="2:10" ht="15.75" x14ac:dyDescent="0.25">
      <c r="B55" s="47" t="s">
        <v>70</v>
      </c>
      <c r="C55" s="119" t="s">
        <v>49</v>
      </c>
      <c r="D55" s="120"/>
      <c r="E55" s="120"/>
      <c r="F55" s="120"/>
      <c r="G55" s="122" t="s">
        <v>50</v>
      </c>
      <c r="H55" s="123"/>
      <c r="I55" s="120" t="s">
        <v>51</v>
      </c>
      <c r="J55" s="124"/>
    </row>
    <row r="56" spans="2:10" ht="15.75" x14ac:dyDescent="0.25">
      <c r="B56" s="37"/>
      <c r="C56" s="14" t="s">
        <v>15</v>
      </c>
      <c r="D56" s="118"/>
      <c r="E56" s="118"/>
      <c r="F56" s="118"/>
      <c r="G56" s="100"/>
      <c r="H56" s="101"/>
      <c r="I56" s="88" t="s">
        <v>55</v>
      </c>
      <c r="J56" s="97"/>
    </row>
    <row r="57" spans="2:10" ht="15.75" x14ac:dyDescent="0.25">
      <c r="B57" s="37"/>
      <c r="C57" s="14" t="s">
        <v>16</v>
      </c>
      <c r="D57" s="101" t="s">
        <v>76</v>
      </c>
      <c r="E57" s="101"/>
      <c r="F57" s="101"/>
      <c r="G57" s="100"/>
      <c r="H57" s="101"/>
      <c r="I57" s="88"/>
      <c r="J57" s="97"/>
    </row>
    <row r="58" spans="2:10" ht="15.75" x14ac:dyDescent="0.25">
      <c r="B58" s="37"/>
      <c r="C58" s="14" t="s">
        <v>14</v>
      </c>
      <c r="D58" s="101"/>
      <c r="E58" s="101"/>
      <c r="F58" s="101"/>
      <c r="G58" s="100"/>
      <c r="H58" s="101"/>
      <c r="I58" s="73" t="s">
        <v>56</v>
      </c>
      <c r="J58" s="98"/>
    </row>
    <row r="59" spans="2:10" ht="15.75" x14ac:dyDescent="0.25">
      <c r="B59" s="37"/>
      <c r="C59" s="14" t="s">
        <v>16</v>
      </c>
      <c r="D59" s="101" t="s">
        <v>76</v>
      </c>
      <c r="E59" s="101"/>
      <c r="F59" s="101"/>
      <c r="G59" s="100"/>
      <c r="H59" s="101"/>
      <c r="I59" s="73"/>
      <c r="J59" s="98"/>
    </row>
    <row r="60" spans="2:10" ht="15.75" x14ac:dyDescent="0.25">
      <c r="B60" s="37"/>
      <c r="C60" s="14" t="s">
        <v>52</v>
      </c>
      <c r="D60" s="101"/>
      <c r="E60" s="101"/>
      <c r="F60" s="101"/>
      <c r="G60" s="100"/>
      <c r="H60" s="101"/>
      <c r="I60" s="88" t="s">
        <v>57</v>
      </c>
      <c r="J60" s="97"/>
    </row>
    <row r="61" spans="2:10" ht="15.75" x14ac:dyDescent="0.25">
      <c r="B61" s="37"/>
      <c r="C61" s="14" t="s">
        <v>16</v>
      </c>
      <c r="D61" s="101" t="s">
        <v>76</v>
      </c>
      <c r="E61" s="101"/>
      <c r="F61" s="101"/>
      <c r="G61" s="100"/>
      <c r="H61" s="101"/>
      <c r="I61" s="88"/>
      <c r="J61" s="97"/>
    </row>
    <row r="62" spans="2:10" ht="15.75" x14ac:dyDescent="0.25">
      <c r="B62" s="37"/>
      <c r="C62" s="14" t="s">
        <v>53</v>
      </c>
      <c r="D62" s="101"/>
      <c r="E62" s="101"/>
      <c r="F62" s="101"/>
      <c r="G62" s="100"/>
      <c r="H62" s="101"/>
      <c r="I62" s="73" t="s">
        <v>58</v>
      </c>
      <c r="J62" s="98"/>
    </row>
    <row r="63" spans="2:10" ht="15.75" x14ac:dyDescent="0.25">
      <c r="B63" s="37"/>
      <c r="C63" s="14" t="s">
        <v>16</v>
      </c>
      <c r="D63" s="101" t="s">
        <v>76</v>
      </c>
      <c r="E63" s="101"/>
      <c r="F63" s="101"/>
      <c r="G63" s="100"/>
      <c r="H63" s="101"/>
      <c r="I63" s="73"/>
      <c r="J63" s="98"/>
    </row>
    <row r="64" spans="2:10" ht="15.75" x14ac:dyDescent="0.25">
      <c r="B64" s="37"/>
      <c r="C64" s="14" t="s">
        <v>54</v>
      </c>
      <c r="D64" s="101"/>
      <c r="E64" s="101"/>
      <c r="F64" s="101"/>
      <c r="G64" s="100"/>
      <c r="H64" s="101"/>
      <c r="I64" s="88" t="s">
        <v>59</v>
      </c>
      <c r="J64" s="97"/>
    </row>
    <row r="65" spans="2:10" ht="15.75" x14ac:dyDescent="0.25">
      <c r="B65" s="37"/>
      <c r="C65" s="15" t="s">
        <v>16</v>
      </c>
      <c r="D65" s="96" t="s">
        <v>76</v>
      </c>
      <c r="E65" s="96"/>
      <c r="F65" s="96"/>
      <c r="G65" s="95"/>
      <c r="H65" s="96"/>
      <c r="I65" s="90"/>
      <c r="J65" s="99"/>
    </row>
    <row r="66" spans="2:10" ht="15.75" x14ac:dyDescent="0.25">
      <c r="B66" s="41" t="s">
        <v>71</v>
      </c>
      <c r="C66" s="91" t="s">
        <v>60</v>
      </c>
      <c r="D66" s="91"/>
      <c r="E66" s="91"/>
      <c r="F66" s="91"/>
      <c r="G66" s="19"/>
      <c r="H66" s="11"/>
      <c r="I66" s="11"/>
      <c r="J66" s="12"/>
    </row>
    <row r="67" spans="2:10" ht="15.75" x14ac:dyDescent="0.25">
      <c r="B67" s="45"/>
      <c r="C67" s="92" t="s">
        <v>61</v>
      </c>
      <c r="D67" s="93"/>
      <c r="E67" s="93"/>
      <c r="F67" s="93"/>
      <c r="G67" s="92" t="s">
        <v>44</v>
      </c>
      <c r="H67" s="93"/>
      <c r="I67" s="93"/>
      <c r="J67" s="94"/>
    </row>
    <row r="68" spans="2:10" ht="15.75" x14ac:dyDescent="0.25">
      <c r="B68" s="46"/>
      <c r="C68" s="83" t="s">
        <v>62</v>
      </c>
      <c r="D68" s="84"/>
      <c r="E68" s="84"/>
      <c r="F68" s="84"/>
      <c r="G68" s="83" t="s">
        <v>77</v>
      </c>
      <c r="H68" s="84"/>
      <c r="I68" s="84"/>
      <c r="J68" s="85"/>
    </row>
    <row r="69" spans="2:10" ht="15.75" x14ac:dyDescent="0.25">
      <c r="B69" s="44" t="s">
        <v>72</v>
      </c>
      <c r="C69" s="15" t="s">
        <v>63</v>
      </c>
      <c r="D69" s="16"/>
      <c r="E69" s="16"/>
      <c r="F69" s="16"/>
      <c r="G69" s="83" t="s">
        <v>64</v>
      </c>
      <c r="H69" s="84"/>
      <c r="I69" s="84"/>
      <c r="J69" s="85"/>
    </row>
    <row r="70" spans="2:10" ht="15.75" x14ac:dyDescent="0.25">
      <c r="B70" s="3" t="s">
        <v>67</v>
      </c>
      <c r="C70" s="3"/>
      <c r="D70" s="3"/>
      <c r="E70" s="3"/>
      <c r="F70" s="3"/>
      <c r="G70" s="3"/>
      <c r="H70" s="3"/>
      <c r="I70" s="3"/>
      <c r="J70" s="3"/>
    </row>
    <row r="71" spans="2:10" ht="15.75" x14ac:dyDescent="0.25">
      <c r="B71" s="3"/>
      <c r="C71" s="3"/>
      <c r="D71" s="3"/>
      <c r="E71" s="3"/>
      <c r="F71" s="3"/>
      <c r="G71" s="3"/>
      <c r="H71" s="3"/>
      <c r="I71" s="3"/>
      <c r="J71" s="3"/>
    </row>
    <row r="72" spans="2:10" ht="15.75" x14ac:dyDescent="0.25">
      <c r="B72" s="3" t="s">
        <v>73</v>
      </c>
      <c r="C72" s="3"/>
      <c r="D72" s="3"/>
      <c r="E72" s="3"/>
      <c r="F72" s="3"/>
      <c r="G72" s="3"/>
      <c r="H72" s="3"/>
      <c r="I72" s="3" t="s">
        <v>73</v>
      </c>
      <c r="J72" s="3"/>
    </row>
    <row r="73" spans="2:10" ht="15.75" x14ac:dyDescent="0.25">
      <c r="B73" s="3"/>
      <c r="C73" s="3"/>
      <c r="D73" s="3"/>
      <c r="E73" s="3"/>
      <c r="F73" s="3"/>
      <c r="G73" s="3"/>
      <c r="H73" s="3"/>
      <c r="I73" s="3"/>
      <c r="J73" s="3"/>
    </row>
    <row r="74" spans="2:10" ht="15.75" x14ac:dyDescent="0.25">
      <c r="B74" s="3"/>
      <c r="C74" s="3"/>
      <c r="D74" s="3"/>
      <c r="E74" s="3"/>
      <c r="F74" s="3"/>
      <c r="G74" s="3"/>
      <c r="H74" s="3"/>
      <c r="I74" s="3"/>
      <c r="J74" s="3"/>
    </row>
    <row r="75" spans="2:10" ht="15.75" x14ac:dyDescent="0.25">
      <c r="B75" s="3"/>
      <c r="C75" s="3"/>
      <c r="D75" s="3"/>
      <c r="E75" s="3"/>
      <c r="F75" s="3"/>
      <c r="G75" s="3"/>
      <c r="H75" s="3"/>
      <c r="I75" s="3"/>
      <c r="J75" s="3"/>
    </row>
    <row r="76" spans="2:10" ht="15.75" x14ac:dyDescent="0.25">
      <c r="B76" s="3" t="str">
        <f>Sheet1!E17</f>
        <v>Supriyono, S.Pd.</v>
      </c>
      <c r="C76" s="3"/>
      <c r="D76" s="3"/>
      <c r="E76" s="3"/>
      <c r="F76" s="3"/>
      <c r="G76" s="3"/>
      <c r="H76" s="3"/>
      <c r="I76" s="3" t="str">
        <f>Sheet1!E21</f>
        <v>Malihatun Ni'mah, S.Si.</v>
      </c>
      <c r="J76" s="3"/>
    </row>
    <row r="77" spans="2:10" ht="15.75" x14ac:dyDescent="0.25">
      <c r="B77" s="3" t="s">
        <v>13</v>
      </c>
      <c r="C77" s="3" t="str">
        <f>Sheet1!E18</f>
        <v>196808212006041008</v>
      </c>
      <c r="D77" s="3"/>
      <c r="E77" s="3"/>
      <c r="F77" s="3"/>
      <c r="G77" s="3"/>
      <c r="H77" s="3"/>
      <c r="I77" s="3" t="s">
        <v>13</v>
      </c>
      <c r="J77" s="3" t="str">
        <f>Sheet1!E22</f>
        <v>198008142009032003</v>
      </c>
    </row>
    <row r="78" spans="2:10" ht="15.75" x14ac:dyDescent="0.25">
      <c r="B78" s="3"/>
      <c r="C78" s="3"/>
      <c r="D78" s="3"/>
      <c r="E78" s="3"/>
      <c r="F78" s="3"/>
      <c r="G78" s="3"/>
      <c r="H78" s="3"/>
      <c r="I78" s="3"/>
      <c r="J78" s="3"/>
    </row>
    <row r="79" spans="2:10" ht="15.75" x14ac:dyDescent="0.25">
      <c r="B79" s="3"/>
      <c r="C79" s="3"/>
      <c r="D79" s="3"/>
      <c r="E79" s="3"/>
      <c r="F79" s="3"/>
      <c r="G79" s="3"/>
      <c r="H79" s="3"/>
      <c r="I79" s="3"/>
      <c r="J79" s="3"/>
    </row>
    <row r="80" spans="2:10" ht="15.75" x14ac:dyDescent="0.25">
      <c r="B80" s="3" t="s">
        <v>73</v>
      </c>
      <c r="C80" s="3"/>
      <c r="D80" s="3"/>
      <c r="E80" s="3"/>
      <c r="F80" s="3"/>
      <c r="G80" s="3"/>
      <c r="H80" s="3"/>
      <c r="I80" s="3" t="s">
        <v>73</v>
      </c>
      <c r="J80" s="3"/>
    </row>
    <row r="81" spans="2:10" ht="15.75" x14ac:dyDescent="0.25">
      <c r="B81" s="3"/>
      <c r="C81" s="3"/>
      <c r="D81" s="3"/>
      <c r="E81" s="3"/>
      <c r="F81" s="3"/>
      <c r="G81" s="3"/>
      <c r="H81" s="3"/>
      <c r="I81" s="3"/>
      <c r="J81" s="3"/>
    </row>
    <row r="82" spans="2:10" ht="15.75" x14ac:dyDescent="0.25">
      <c r="B82" s="3"/>
      <c r="C82" s="3"/>
      <c r="D82" s="3"/>
      <c r="E82" s="3"/>
      <c r="F82" s="3"/>
      <c r="G82" s="3"/>
      <c r="H82" s="3"/>
      <c r="I82" s="3"/>
      <c r="J82" s="3"/>
    </row>
    <row r="83" spans="2:10" ht="15.75" x14ac:dyDescent="0.25">
      <c r="B83" s="3"/>
      <c r="C83" s="3"/>
      <c r="D83" s="3"/>
      <c r="E83" s="3"/>
      <c r="F83" s="3"/>
      <c r="G83" s="3"/>
      <c r="H83" s="3"/>
      <c r="I83" s="3"/>
      <c r="J83" s="3"/>
    </row>
    <row r="84" spans="2:10" ht="15.75" x14ac:dyDescent="0.25">
      <c r="B84" s="3" t="str">
        <f>Sheet1!E29</f>
        <v>Paulus Mauljono, S.Pd.</v>
      </c>
      <c r="C84" s="3"/>
      <c r="D84" s="3"/>
      <c r="E84" s="3"/>
      <c r="F84" s="3"/>
      <c r="G84" s="3"/>
      <c r="H84" s="3"/>
      <c r="I84" s="3" t="str">
        <f>Sheet1!E25</f>
        <v>Khoirun Ni'am, S.E.</v>
      </c>
      <c r="J84" s="3"/>
    </row>
    <row r="85" spans="2:10" ht="15.75" x14ac:dyDescent="0.25">
      <c r="B85" s="3" t="s">
        <v>13</v>
      </c>
      <c r="C85" s="3" t="str">
        <f>Sheet1!$E$30</f>
        <v>196609271989031007</v>
      </c>
      <c r="D85" s="3"/>
      <c r="E85" s="3"/>
      <c r="F85" s="3"/>
      <c r="G85" s="3"/>
      <c r="H85" s="3"/>
      <c r="I85" s="3" t="s">
        <v>13</v>
      </c>
      <c r="J85" s="3" t="str">
        <f>Sheet1!$E$26</f>
        <v>198402282022211014</v>
      </c>
    </row>
    <row r="86" spans="2:10" ht="15.75" x14ac:dyDescent="0.25">
      <c r="B86" s="3"/>
      <c r="C86" s="3"/>
      <c r="D86" s="3"/>
      <c r="E86" s="3"/>
      <c r="F86" s="3"/>
      <c r="G86" s="3"/>
      <c r="H86" s="3"/>
      <c r="I86" s="3"/>
      <c r="J86" s="3"/>
    </row>
    <row r="87" spans="2:10" ht="15.75" x14ac:dyDescent="0.25">
      <c r="B87" s="3"/>
      <c r="C87" s="3"/>
      <c r="D87" s="3"/>
      <c r="E87" s="3"/>
      <c r="F87" s="3"/>
      <c r="G87" s="3"/>
      <c r="H87" s="3"/>
      <c r="I87" s="3"/>
      <c r="J87" s="3"/>
    </row>
    <row r="88" spans="2:10" ht="15.75" x14ac:dyDescent="0.25">
      <c r="B88" s="3" t="s">
        <v>73</v>
      </c>
      <c r="E88" s="3"/>
      <c r="F88" s="3"/>
      <c r="G88" s="3"/>
      <c r="H88" s="3"/>
      <c r="I88" s="3" t="s">
        <v>73</v>
      </c>
      <c r="J88" s="3"/>
    </row>
    <row r="89" spans="2:10" ht="15.75" x14ac:dyDescent="0.25">
      <c r="E89" s="3"/>
      <c r="F89" s="3"/>
      <c r="G89" s="3"/>
      <c r="H89" s="3"/>
      <c r="J89" s="3"/>
    </row>
    <row r="90" spans="2:10" ht="15.75" x14ac:dyDescent="0.25">
      <c r="E90" s="3"/>
      <c r="F90" s="3"/>
      <c r="G90" s="3"/>
      <c r="H90" s="3"/>
      <c r="J90" s="3"/>
    </row>
    <row r="91" spans="2:10" ht="15.75" x14ac:dyDescent="0.25">
      <c r="E91" s="3"/>
      <c r="F91" s="3"/>
      <c r="G91" s="3"/>
      <c r="H91" s="3"/>
      <c r="J91" s="3"/>
    </row>
    <row r="92" spans="2:10" ht="15.75" x14ac:dyDescent="0.25">
      <c r="B92" s="3" t="str">
        <f>Sheet1!E33</f>
        <v>Dewi Nur Khalimah, S.Pd., M.Pd.</v>
      </c>
      <c r="C92" s="3"/>
      <c r="D92" s="3"/>
      <c r="E92" s="3"/>
      <c r="F92" s="3"/>
      <c r="G92" s="3"/>
      <c r="H92" s="3"/>
      <c r="I92" s="3" t="str">
        <f>Sheet1!E37</f>
        <v>Septia Nurkhalisa, S.Pd.</v>
      </c>
      <c r="J92" s="3"/>
    </row>
    <row r="93" spans="2:10" ht="15.75" x14ac:dyDescent="0.25">
      <c r="B93" s="3" t="str">
        <f>Sheet1!E34</f>
        <v>198711082010012013</v>
      </c>
      <c r="C93" s="3"/>
      <c r="D93" s="3"/>
      <c r="E93" s="3"/>
      <c r="F93" s="3"/>
      <c r="G93" s="3"/>
      <c r="H93" s="3"/>
      <c r="I93" s="3" t="s">
        <v>13</v>
      </c>
      <c r="J93" s="3" t="str">
        <f>Sheet1!E38</f>
        <v>199709062020122024</v>
      </c>
    </row>
    <row r="94" spans="2:10" ht="15.75" x14ac:dyDescent="0.25">
      <c r="B94" s="3"/>
      <c r="C94" s="3"/>
      <c r="D94" s="3"/>
      <c r="E94" s="3"/>
      <c r="F94" s="3"/>
      <c r="G94" s="3"/>
      <c r="H94" s="3"/>
      <c r="I94" s="3"/>
      <c r="J94" s="3"/>
    </row>
    <row r="95" spans="2:10" ht="15.75" x14ac:dyDescent="0.25">
      <c r="B95" s="3"/>
      <c r="C95" s="3"/>
      <c r="D95" s="3"/>
      <c r="E95" s="3"/>
      <c r="F95" s="3"/>
      <c r="G95" s="3"/>
      <c r="H95" s="3"/>
      <c r="I95" s="3"/>
      <c r="J95" s="3"/>
    </row>
    <row r="96" spans="2:10" ht="15.75" x14ac:dyDescent="0.25">
      <c r="B96" s="3" t="s">
        <v>73</v>
      </c>
      <c r="C96" s="3"/>
      <c r="D96" s="3"/>
      <c r="E96" s="3"/>
      <c r="F96" s="3"/>
      <c r="G96" s="3"/>
      <c r="H96" s="3"/>
      <c r="I96" s="3" t="s">
        <v>73</v>
      </c>
      <c r="J96" s="3"/>
    </row>
    <row r="97" spans="2:10" ht="15.75" x14ac:dyDescent="0.25">
      <c r="B97" s="3"/>
      <c r="C97" s="3"/>
      <c r="D97" s="3"/>
      <c r="E97" s="3"/>
      <c r="F97" s="3"/>
      <c r="G97" s="3"/>
      <c r="H97" s="3"/>
      <c r="I97" s="3"/>
      <c r="J97" s="3"/>
    </row>
    <row r="98" spans="2:10" ht="15.75" x14ac:dyDescent="0.25">
      <c r="B98" s="3"/>
      <c r="C98" s="3"/>
      <c r="D98" s="3"/>
      <c r="E98" s="3"/>
      <c r="F98" s="3"/>
      <c r="G98" s="3"/>
      <c r="H98" s="3"/>
      <c r="I98" s="3"/>
      <c r="J98" s="3"/>
    </row>
    <row r="99" spans="2:10" ht="15.75" x14ac:dyDescent="0.25">
      <c r="B99" s="3"/>
      <c r="C99" s="3"/>
      <c r="D99" s="3"/>
      <c r="E99" s="3"/>
      <c r="F99" s="3"/>
      <c r="G99" s="3"/>
      <c r="H99" s="3"/>
      <c r="I99" s="3"/>
      <c r="J99" s="3"/>
    </row>
    <row r="100" spans="2:10" ht="15.75" x14ac:dyDescent="0.25">
      <c r="B100" s="3" t="str">
        <f>Sheet1!E41</f>
        <v>Lulu' Aulia, S.Pd.</v>
      </c>
      <c r="C100" s="3"/>
      <c r="D100" s="3"/>
      <c r="E100" s="3"/>
      <c r="F100" s="3"/>
      <c r="G100" s="3"/>
      <c r="H100" s="3"/>
      <c r="I100" s="3" t="str">
        <f>Sheet1!E45</f>
        <v>M. Nailul I'dad Firdaus, S.Pd.</v>
      </c>
      <c r="J100" s="3"/>
    </row>
    <row r="101" spans="2:10" ht="15.75" x14ac:dyDescent="0.25">
      <c r="B101" s="3" t="s">
        <v>13</v>
      </c>
      <c r="C101" s="3" t="str">
        <f>Sheet1!$E$42</f>
        <v>198704072022212005</v>
      </c>
      <c r="D101" s="3"/>
      <c r="E101" s="3"/>
      <c r="F101" s="3"/>
      <c r="G101" s="3"/>
      <c r="H101" s="3"/>
      <c r="I101" s="3" t="s">
        <v>13</v>
      </c>
      <c r="J101" t="s">
        <v>75</v>
      </c>
    </row>
    <row r="102" spans="2:10" ht="15.75" x14ac:dyDescent="0.25">
      <c r="B102" s="3"/>
      <c r="C102" s="3"/>
      <c r="D102" s="3"/>
      <c r="E102" s="3"/>
      <c r="F102" s="3"/>
      <c r="G102" s="3"/>
      <c r="H102" s="3"/>
      <c r="I102" s="3"/>
      <c r="J102" s="3"/>
    </row>
    <row r="103" spans="2:10" ht="15.75" x14ac:dyDescent="0.25">
      <c r="B103" s="3"/>
      <c r="C103" s="3"/>
      <c r="D103" s="3"/>
      <c r="E103" s="3" t="str">
        <f>Sheet1!F55</f>
        <v>Ditetapkan di : Demak</v>
      </c>
      <c r="G103" s="3"/>
      <c r="H103" s="3"/>
      <c r="I103" s="3"/>
      <c r="J103" s="3"/>
    </row>
    <row r="104" spans="2:10" ht="15.75" x14ac:dyDescent="0.25">
      <c r="B104" s="3"/>
      <c r="C104" s="3"/>
      <c r="D104" s="3"/>
      <c r="E104" s="3" t="str">
        <f>Sheet1!F56</f>
        <v>Pada Tanggal :</v>
      </c>
      <c r="G104" s="3"/>
      <c r="H104" s="3" t="str">
        <f>Sheet1!I56</f>
        <v>29 April 2025</v>
      </c>
      <c r="I104" s="3"/>
      <c r="J104" s="3"/>
    </row>
    <row r="105" spans="2:10" ht="15.75" x14ac:dyDescent="0.25">
      <c r="B105" s="3"/>
      <c r="C105" s="3"/>
      <c r="D105" s="3"/>
      <c r="E105" s="3" t="str">
        <f>Sheet1!F57</f>
        <v>Kepala SMP Negeri 2 Karangtengah</v>
      </c>
      <c r="G105" s="3"/>
      <c r="H105" s="3"/>
      <c r="I105" s="3"/>
      <c r="J105" s="3"/>
    </row>
    <row r="106" spans="2:10" ht="15.75" x14ac:dyDescent="0.25">
      <c r="B106" s="3"/>
      <c r="C106" s="3"/>
      <c r="D106" s="3"/>
      <c r="E106" s="3" t="str">
        <f>Sheet1!F58</f>
        <v>Kab. Demak</v>
      </c>
      <c r="G106" s="3"/>
      <c r="H106" s="3"/>
      <c r="I106" s="3"/>
      <c r="J106" s="3"/>
    </row>
    <row r="107" spans="2:10" ht="15.75" x14ac:dyDescent="0.25">
      <c r="B107" s="3"/>
      <c r="C107" s="3"/>
      <c r="D107" s="3"/>
      <c r="E107" s="3"/>
      <c r="G107" s="3"/>
      <c r="H107" s="3"/>
      <c r="I107" s="3"/>
      <c r="J107" s="3"/>
    </row>
    <row r="108" spans="2:10" ht="15.75" x14ac:dyDescent="0.25">
      <c r="B108" s="3"/>
      <c r="C108" s="3"/>
      <c r="D108" s="3"/>
      <c r="E108" s="3"/>
      <c r="G108" s="3"/>
      <c r="H108" s="3"/>
      <c r="I108" s="3"/>
      <c r="J108" s="3"/>
    </row>
    <row r="109" spans="2:10" ht="15.75" x14ac:dyDescent="0.25">
      <c r="B109" s="3"/>
      <c r="C109" s="3"/>
      <c r="D109" s="3"/>
      <c r="E109" s="3"/>
      <c r="G109" s="3"/>
      <c r="H109" s="3"/>
      <c r="I109" s="3"/>
      <c r="J109" s="3"/>
    </row>
    <row r="110" spans="2:10" ht="15.75" x14ac:dyDescent="0.25">
      <c r="B110" s="3"/>
      <c r="C110" s="3"/>
      <c r="D110" s="3"/>
      <c r="E110" s="27" t="str">
        <f>Sheet1!F62</f>
        <v>Priyantono, S.Pd., M.Pd.</v>
      </c>
      <c r="G110" s="3"/>
      <c r="H110" s="3"/>
      <c r="I110" s="3"/>
      <c r="J110" s="3"/>
    </row>
    <row r="111" spans="2:10" ht="15.75" x14ac:dyDescent="0.25">
      <c r="B111" s="3"/>
      <c r="C111" s="3"/>
      <c r="D111" s="3"/>
      <c r="E111" s="3" t="str">
        <f>Sheet1!F63</f>
        <v>NIP. 196902251994031005</v>
      </c>
      <c r="G111" s="3"/>
      <c r="H111" s="3"/>
      <c r="I111" s="3"/>
      <c r="J111" s="3"/>
    </row>
  </sheetData>
  <mergeCells count="91">
    <mergeCell ref="C29:F38"/>
    <mergeCell ref="C39:F44"/>
    <mergeCell ref="H45:J45"/>
    <mergeCell ref="H43:J43"/>
    <mergeCell ref="H44:J44"/>
    <mergeCell ref="H29:J29"/>
    <mergeCell ref="H30:J30"/>
    <mergeCell ref="H31:J31"/>
    <mergeCell ref="H26:J26"/>
    <mergeCell ref="H27:J27"/>
    <mergeCell ref="H28:J28"/>
    <mergeCell ref="H51:J51"/>
    <mergeCell ref="H36:J36"/>
    <mergeCell ref="B13:B28"/>
    <mergeCell ref="C13:F28"/>
    <mergeCell ref="H13:J13"/>
    <mergeCell ref="H14:J14"/>
    <mergeCell ref="H15:J15"/>
    <mergeCell ref="H16:J16"/>
    <mergeCell ref="H17:J17"/>
    <mergeCell ref="H18:J18"/>
    <mergeCell ref="H19:J19"/>
    <mergeCell ref="H20:J20"/>
    <mergeCell ref="H21:J21"/>
    <mergeCell ref="H22:J22"/>
    <mergeCell ref="H23:J23"/>
    <mergeCell ref="H24:J24"/>
    <mergeCell ref="H25:J25"/>
    <mergeCell ref="G55:H55"/>
    <mergeCell ref="I55:J55"/>
    <mergeCell ref="H37:J37"/>
    <mergeCell ref="H38:J38"/>
    <mergeCell ref="H39:J39"/>
    <mergeCell ref="H40:J40"/>
    <mergeCell ref="H41:J41"/>
    <mergeCell ref="B50:B51"/>
    <mergeCell ref="C53:F53"/>
    <mergeCell ref="C54:F54"/>
    <mergeCell ref="C55:F55"/>
    <mergeCell ref="C49:F49"/>
    <mergeCell ref="C50:F50"/>
    <mergeCell ref="C51:F51"/>
    <mergeCell ref="C52:F52"/>
    <mergeCell ref="D59:F59"/>
    <mergeCell ref="D57:F57"/>
    <mergeCell ref="D56:F56"/>
    <mergeCell ref="D58:F58"/>
    <mergeCell ref="D64:F64"/>
    <mergeCell ref="D63:F63"/>
    <mergeCell ref="D62:F62"/>
    <mergeCell ref="D61:F61"/>
    <mergeCell ref="D60:F60"/>
    <mergeCell ref="C12:F12"/>
    <mergeCell ref="G12:J12"/>
    <mergeCell ref="G46:J48"/>
    <mergeCell ref="B1:J1"/>
    <mergeCell ref="B2:J2"/>
    <mergeCell ref="B3:J3"/>
    <mergeCell ref="B4:J4"/>
    <mergeCell ref="C10:J10"/>
    <mergeCell ref="C45:F45"/>
    <mergeCell ref="B46:B48"/>
    <mergeCell ref="B29:B45"/>
    <mergeCell ref="H42:J42"/>
    <mergeCell ref="H32:J32"/>
    <mergeCell ref="H33:J33"/>
    <mergeCell ref="H34:J34"/>
    <mergeCell ref="H35:J35"/>
    <mergeCell ref="G63:H63"/>
    <mergeCell ref="G57:H57"/>
    <mergeCell ref="G64:H64"/>
    <mergeCell ref="G59:H59"/>
    <mergeCell ref="G60:H60"/>
    <mergeCell ref="G61:H61"/>
    <mergeCell ref="G62:H62"/>
    <mergeCell ref="G69:J69"/>
    <mergeCell ref="C46:F48"/>
    <mergeCell ref="C66:F66"/>
    <mergeCell ref="C67:F67"/>
    <mergeCell ref="C68:F68"/>
    <mergeCell ref="G67:J67"/>
    <mergeCell ref="G68:J68"/>
    <mergeCell ref="G65:H65"/>
    <mergeCell ref="I56:J57"/>
    <mergeCell ref="I58:J59"/>
    <mergeCell ref="I60:J61"/>
    <mergeCell ref="I62:J63"/>
    <mergeCell ref="I64:J65"/>
    <mergeCell ref="D65:F65"/>
    <mergeCell ref="G56:H56"/>
    <mergeCell ref="G58:H58"/>
  </mergeCells>
  <printOptions horizontalCentered="1"/>
  <pageMargins left="0.19685039370078741" right="0.19685039370078741" top="0.19685039370078741" bottom="0.19685039370078741" header="0.19685039370078741" footer="0.19685039370078741"/>
  <pageSetup paperSize="5" scale="95" orientation="portrait" r:id="rId1"/>
  <rowBreaks count="1" manualBreakCount="1">
    <brk id="65" max="1638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2B162-F6E8-4069-80E0-C693F4A7CCD3}">
  <dimension ref="B1:J61"/>
  <sheetViews>
    <sheetView view="pageBreakPreview" zoomScale="70" zoomScaleNormal="100" zoomScaleSheetLayoutView="70" workbookViewId="0">
      <selection activeCell="G18" sqref="G18"/>
    </sheetView>
  </sheetViews>
  <sheetFormatPr defaultRowHeight="15" x14ac:dyDescent="0.25"/>
  <cols>
    <col min="2" max="2" width="17.42578125" customWidth="1"/>
    <col min="3" max="4" width="10" customWidth="1"/>
    <col min="5" max="5" width="12.42578125" customWidth="1"/>
    <col min="6" max="6" width="6" customWidth="1"/>
    <col min="7" max="7" width="11.42578125" customWidth="1"/>
    <col min="8" max="8" width="10.140625" customWidth="1"/>
    <col min="9" max="9" width="22.85546875" customWidth="1"/>
  </cols>
  <sheetData>
    <row r="1" spans="2:9" ht="15.75" x14ac:dyDescent="0.25">
      <c r="B1" s="19"/>
      <c r="C1" s="11"/>
      <c r="D1" s="11"/>
      <c r="E1" s="11"/>
      <c r="F1" s="58" t="s">
        <v>82</v>
      </c>
      <c r="G1" s="11"/>
      <c r="H1" s="11"/>
      <c r="I1" s="12"/>
    </row>
    <row r="2" spans="2:9" ht="15.75" x14ac:dyDescent="0.25">
      <c r="B2" s="14"/>
      <c r="C2" s="3"/>
      <c r="D2" s="3"/>
      <c r="E2" s="3"/>
      <c r="F2" s="43" t="s">
        <v>78</v>
      </c>
      <c r="G2" s="3"/>
      <c r="H2" s="3"/>
      <c r="I2" s="13"/>
    </row>
    <row r="3" spans="2:9" ht="15.75" x14ac:dyDescent="0.25">
      <c r="B3" s="14"/>
      <c r="C3" s="3"/>
      <c r="D3" s="3"/>
      <c r="E3" s="3"/>
      <c r="F3" s="43" t="s">
        <v>80</v>
      </c>
      <c r="G3" s="132" t="str">
        <f>Sheet1!C51</f>
        <v>Kembang Langit, Kab. Batang</v>
      </c>
      <c r="H3" s="132"/>
      <c r="I3" s="133"/>
    </row>
    <row r="4" spans="2:9" ht="15.75" x14ac:dyDescent="0.25">
      <c r="B4" s="14"/>
      <c r="C4" s="3"/>
      <c r="D4" s="3"/>
      <c r="E4" s="3"/>
      <c r="F4" s="62" t="s">
        <v>81</v>
      </c>
      <c r="G4" s="3"/>
      <c r="H4" s="132" t="str">
        <f>Sheet1!I56</f>
        <v>29 April 2025</v>
      </c>
      <c r="I4" s="133"/>
    </row>
    <row r="5" spans="2:9" ht="15.75" x14ac:dyDescent="0.25">
      <c r="B5" s="14"/>
      <c r="C5" s="3"/>
      <c r="D5" s="3"/>
      <c r="E5" s="3"/>
      <c r="F5" s="14"/>
      <c r="G5" s="3"/>
      <c r="H5" s="3"/>
      <c r="I5" s="13"/>
    </row>
    <row r="6" spans="2:9" ht="15.75" x14ac:dyDescent="0.25">
      <c r="B6" s="14"/>
      <c r="C6" s="3"/>
      <c r="D6" s="3"/>
      <c r="E6" s="3"/>
      <c r="F6" s="54" t="s">
        <v>105</v>
      </c>
      <c r="G6" s="3"/>
      <c r="H6" s="3"/>
      <c r="I6" s="13"/>
    </row>
    <row r="7" spans="2:9" ht="15.75" x14ac:dyDescent="0.25">
      <c r="B7" s="14"/>
      <c r="C7" s="3"/>
      <c r="D7" s="3"/>
      <c r="E7" s="3"/>
      <c r="F7" s="59"/>
      <c r="G7" s="3"/>
      <c r="H7" s="3"/>
      <c r="I7" s="13"/>
    </row>
    <row r="8" spans="2:9" ht="15.75" x14ac:dyDescent="0.25">
      <c r="B8" s="14"/>
      <c r="C8" s="3"/>
      <c r="D8" s="3"/>
      <c r="E8" s="3"/>
      <c r="F8" s="59" t="s">
        <v>79</v>
      </c>
      <c r="G8" s="3"/>
      <c r="H8" s="3"/>
      <c r="I8" s="13"/>
    </row>
    <row r="9" spans="2:9" ht="15.75" x14ac:dyDescent="0.25">
      <c r="B9" s="14"/>
      <c r="C9" s="3"/>
      <c r="D9" s="3"/>
      <c r="E9" s="3"/>
      <c r="F9" s="59" t="s">
        <v>79</v>
      </c>
      <c r="G9" s="3"/>
      <c r="H9" s="3"/>
      <c r="I9" s="13"/>
    </row>
    <row r="10" spans="2:9" ht="15.75" x14ac:dyDescent="0.25">
      <c r="B10" s="14"/>
      <c r="C10" s="3"/>
      <c r="D10" s="3"/>
      <c r="E10" s="3"/>
      <c r="F10" s="43"/>
      <c r="G10" s="3"/>
      <c r="H10" s="3"/>
      <c r="I10" s="13"/>
    </row>
    <row r="11" spans="2:9" ht="15.75" x14ac:dyDescent="0.25">
      <c r="B11" s="14"/>
      <c r="C11" s="3"/>
      <c r="D11" s="3"/>
      <c r="E11" s="3"/>
      <c r="F11" s="18" t="str">
        <f>Sheet1!F62</f>
        <v>Priyantono, S.Pd., M.Pd.</v>
      </c>
      <c r="G11" s="3"/>
      <c r="H11" s="3"/>
      <c r="I11" s="13"/>
    </row>
    <row r="12" spans="2:9" ht="15.75" x14ac:dyDescent="0.25">
      <c r="B12" s="15"/>
      <c r="C12" s="16"/>
      <c r="D12" s="16"/>
      <c r="E12" s="16"/>
      <c r="F12" s="15" t="str">
        <f>Sheet1!F63</f>
        <v>NIP. 196902251994031005</v>
      </c>
      <c r="G12" s="16"/>
      <c r="H12" s="16"/>
      <c r="I12" s="17"/>
    </row>
    <row r="13" spans="2:9" ht="15.75" x14ac:dyDescent="0.25">
      <c r="B13" s="58" t="s">
        <v>83</v>
      </c>
      <c r="C13" s="106" t="str">
        <f>G3</f>
        <v>Kembang Langit, Kab. Batang</v>
      </c>
      <c r="D13" s="106"/>
      <c r="E13" s="107"/>
      <c r="F13" s="67" t="s">
        <v>88</v>
      </c>
      <c r="G13" s="11"/>
      <c r="H13" s="130" t="str">
        <f>Sheet2!H50</f>
        <v>SMP Negeri 2 Karangtengah</v>
      </c>
      <c r="I13" s="131"/>
    </row>
    <row r="14" spans="2:9" x14ac:dyDescent="0.25">
      <c r="B14" s="43" t="s">
        <v>84</v>
      </c>
      <c r="C14" s="134" t="str">
        <f>Sheet1!C52</f>
        <v>Rabu, 30 April 2025</v>
      </c>
      <c r="D14" s="134"/>
      <c r="E14" s="135"/>
      <c r="F14" s="62" t="s">
        <v>80</v>
      </c>
      <c r="G14" s="132" t="str">
        <f>Sheet1!C51</f>
        <v>Kembang Langit, Kab. Batang</v>
      </c>
      <c r="H14" s="132"/>
      <c r="I14" s="133"/>
    </row>
    <row r="15" spans="2:9" ht="15.75" x14ac:dyDescent="0.25">
      <c r="B15" s="14" t="s">
        <v>85</v>
      </c>
      <c r="C15" s="3"/>
      <c r="D15" s="3"/>
      <c r="E15" s="3"/>
      <c r="F15" s="14" t="s">
        <v>84</v>
      </c>
      <c r="G15" s="3"/>
      <c r="H15" s="3" t="str">
        <f>Sheet1!C52</f>
        <v>Rabu, 30 April 2025</v>
      </c>
      <c r="I15" s="13"/>
    </row>
    <row r="16" spans="2:9" ht="15.75" x14ac:dyDescent="0.25">
      <c r="B16" s="14"/>
      <c r="C16" s="3"/>
      <c r="D16" s="3"/>
      <c r="E16" s="3"/>
      <c r="F16" s="14" t="s">
        <v>85</v>
      </c>
      <c r="G16" s="3"/>
      <c r="H16" s="3"/>
      <c r="I16" s="13"/>
    </row>
    <row r="17" spans="2:9" ht="15.75" x14ac:dyDescent="0.25">
      <c r="B17" s="14"/>
      <c r="C17" s="3"/>
      <c r="D17" s="3"/>
      <c r="E17" s="3"/>
      <c r="F17" s="14"/>
      <c r="G17" s="3"/>
      <c r="H17" s="3"/>
      <c r="I17" s="13"/>
    </row>
    <row r="18" spans="2:9" ht="15.75" x14ac:dyDescent="0.25">
      <c r="B18" s="14"/>
      <c r="C18" s="3"/>
      <c r="D18" s="3"/>
      <c r="E18" s="3"/>
      <c r="F18" s="14"/>
      <c r="G18" s="3"/>
      <c r="H18" s="3"/>
      <c r="I18" s="13"/>
    </row>
    <row r="19" spans="2:9" ht="15.75" x14ac:dyDescent="0.25">
      <c r="B19" s="100" t="s">
        <v>86</v>
      </c>
      <c r="C19" s="101"/>
      <c r="D19" s="101"/>
      <c r="E19" s="101"/>
      <c r="F19" s="100" t="s">
        <v>86</v>
      </c>
      <c r="G19" s="101"/>
      <c r="H19" s="101"/>
      <c r="I19" s="129"/>
    </row>
    <row r="20" spans="2:9" ht="15.75" x14ac:dyDescent="0.25">
      <c r="B20" s="100" t="s">
        <v>87</v>
      </c>
      <c r="C20" s="101"/>
      <c r="D20" s="101"/>
      <c r="E20" s="101"/>
      <c r="F20" s="100" t="s">
        <v>87</v>
      </c>
      <c r="G20" s="101"/>
      <c r="H20" s="101"/>
      <c r="I20" s="129"/>
    </row>
    <row r="21" spans="2:9" ht="15.75" x14ac:dyDescent="0.25">
      <c r="B21" s="19" t="s">
        <v>89</v>
      </c>
      <c r="C21" s="11"/>
      <c r="D21" s="11"/>
      <c r="E21" s="11"/>
      <c r="F21" s="19" t="s">
        <v>88</v>
      </c>
      <c r="G21" s="11"/>
      <c r="H21" s="11"/>
      <c r="I21" s="12"/>
    </row>
    <row r="22" spans="2:9" ht="15.75" x14ac:dyDescent="0.25">
      <c r="B22" s="14" t="s">
        <v>84</v>
      </c>
      <c r="C22" s="3"/>
      <c r="D22" s="3"/>
      <c r="E22" s="3"/>
      <c r="F22" s="14" t="s">
        <v>80</v>
      </c>
      <c r="G22" s="3"/>
      <c r="H22" s="3"/>
      <c r="I22" s="13"/>
    </row>
    <row r="23" spans="2:9" ht="15.75" x14ac:dyDescent="0.25">
      <c r="B23" s="14" t="s">
        <v>85</v>
      </c>
      <c r="C23" s="3"/>
      <c r="D23" s="3"/>
      <c r="E23" s="3"/>
      <c r="F23" s="14" t="s">
        <v>84</v>
      </c>
      <c r="G23" s="3"/>
      <c r="H23" s="3"/>
      <c r="I23" s="13"/>
    </row>
    <row r="24" spans="2:9" ht="15.75" x14ac:dyDescent="0.25">
      <c r="B24" s="14"/>
      <c r="C24" s="3"/>
      <c r="D24" s="3"/>
      <c r="E24" s="3"/>
      <c r="F24" s="14" t="s">
        <v>85</v>
      </c>
      <c r="G24" s="3"/>
      <c r="H24" s="3"/>
      <c r="I24" s="13"/>
    </row>
    <row r="25" spans="2:9" ht="15.75" x14ac:dyDescent="0.25">
      <c r="B25" s="14"/>
      <c r="C25" s="3"/>
      <c r="D25" s="3"/>
      <c r="E25" s="3"/>
      <c r="F25" s="14"/>
      <c r="G25" s="3"/>
      <c r="H25" s="3"/>
      <c r="I25" s="13"/>
    </row>
    <row r="26" spans="2:9" ht="15.75" x14ac:dyDescent="0.25">
      <c r="B26" s="14"/>
      <c r="C26" s="3"/>
      <c r="D26" s="3"/>
      <c r="E26" s="3"/>
      <c r="F26" s="14"/>
      <c r="G26" s="3"/>
      <c r="H26" s="3"/>
      <c r="I26" s="13"/>
    </row>
    <row r="27" spans="2:9" ht="15.75" x14ac:dyDescent="0.25">
      <c r="B27" s="100" t="s">
        <v>86</v>
      </c>
      <c r="C27" s="101"/>
      <c r="D27" s="101"/>
      <c r="E27" s="101"/>
      <c r="F27" s="100" t="s">
        <v>86</v>
      </c>
      <c r="G27" s="101"/>
      <c r="H27" s="101"/>
      <c r="I27" s="129"/>
    </row>
    <row r="28" spans="2:9" ht="15.75" x14ac:dyDescent="0.25">
      <c r="B28" s="100" t="s">
        <v>87</v>
      </c>
      <c r="C28" s="101"/>
      <c r="D28" s="101"/>
      <c r="E28" s="101"/>
      <c r="F28" s="100" t="s">
        <v>87</v>
      </c>
      <c r="G28" s="101"/>
      <c r="H28" s="101"/>
      <c r="I28" s="129"/>
    </row>
    <row r="29" spans="2:9" ht="15.75" x14ac:dyDescent="0.25">
      <c r="B29" s="19" t="s">
        <v>90</v>
      </c>
      <c r="C29" s="11"/>
      <c r="D29" s="11"/>
      <c r="E29" s="11"/>
      <c r="F29" s="19" t="s">
        <v>88</v>
      </c>
      <c r="G29" s="11"/>
      <c r="H29" s="11"/>
      <c r="I29" s="12"/>
    </row>
    <row r="30" spans="2:9" ht="15.75" x14ac:dyDescent="0.25">
      <c r="B30" s="14" t="s">
        <v>84</v>
      </c>
      <c r="C30" s="3"/>
      <c r="D30" s="3"/>
      <c r="E30" s="3"/>
      <c r="F30" s="14" t="s">
        <v>80</v>
      </c>
      <c r="G30" s="3"/>
      <c r="H30" s="3"/>
      <c r="I30" s="13"/>
    </row>
    <row r="31" spans="2:9" ht="15.75" x14ac:dyDescent="0.25">
      <c r="B31" s="14" t="s">
        <v>85</v>
      </c>
      <c r="C31" s="3"/>
      <c r="D31" s="3"/>
      <c r="E31" s="3"/>
      <c r="F31" s="14" t="s">
        <v>84</v>
      </c>
      <c r="G31" s="3"/>
      <c r="H31" s="3"/>
      <c r="I31" s="13"/>
    </row>
    <row r="32" spans="2:9" ht="15.75" x14ac:dyDescent="0.25">
      <c r="B32" s="14"/>
      <c r="C32" s="3"/>
      <c r="D32" s="3"/>
      <c r="E32" s="3"/>
      <c r="F32" s="14" t="s">
        <v>85</v>
      </c>
      <c r="G32" s="3"/>
      <c r="H32" s="3"/>
      <c r="I32" s="13"/>
    </row>
    <row r="33" spans="2:9" ht="15.75" x14ac:dyDescent="0.25">
      <c r="B33" s="14"/>
      <c r="C33" s="3"/>
      <c r="D33" s="3"/>
      <c r="E33" s="3"/>
      <c r="F33" s="14"/>
      <c r="G33" s="3"/>
      <c r="H33" s="3"/>
      <c r="I33" s="13"/>
    </row>
    <row r="34" spans="2:9" ht="15.75" x14ac:dyDescent="0.25">
      <c r="B34" s="14"/>
      <c r="C34" s="3"/>
      <c r="D34" s="3"/>
      <c r="E34" s="3"/>
      <c r="F34" s="14"/>
      <c r="G34" s="3"/>
      <c r="H34" s="3"/>
      <c r="I34" s="13"/>
    </row>
    <row r="35" spans="2:9" ht="15.75" x14ac:dyDescent="0.25">
      <c r="B35" s="100" t="s">
        <v>86</v>
      </c>
      <c r="C35" s="101"/>
      <c r="D35" s="101"/>
      <c r="E35" s="101"/>
      <c r="F35" s="100" t="s">
        <v>86</v>
      </c>
      <c r="G35" s="101"/>
      <c r="H35" s="101"/>
      <c r="I35" s="129"/>
    </row>
    <row r="36" spans="2:9" ht="15.75" x14ac:dyDescent="0.25">
      <c r="B36" s="100" t="s">
        <v>87</v>
      </c>
      <c r="C36" s="101"/>
      <c r="D36" s="101"/>
      <c r="E36" s="101"/>
      <c r="F36" s="100" t="s">
        <v>87</v>
      </c>
      <c r="G36" s="101"/>
      <c r="H36" s="101"/>
      <c r="I36" s="129"/>
    </row>
    <row r="37" spans="2:9" ht="15.75" x14ac:dyDescent="0.25">
      <c r="B37" s="19" t="s">
        <v>91</v>
      </c>
      <c r="C37" s="11"/>
      <c r="D37" s="11"/>
      <c r="E37" s="11"/>
      <c r="F37" s="19" t="s">
        <v>88</v>
      </c>
      <c r="G37" s="11"/>
      <c r="H37" s="11"/>
      <c r="I37" s="12"/>
    </row>
    <row r="38" spans="2:9" ht="15.75" x14ac:dyDescent="0.25">
      <c r="B38" s="14" t="s">
        <v>84</v>
      </c>
      <c r="C38" s="3"/>
      <c r="D38" s="3"/>
      <c r="E38" s="3"/>
      <c r="F38" s="14" t="s">
        <v>80</v>
      </c>
      <c r="G38" s="3"/>
      <c r="H38" s="3"/>
      <c r="I38" s="13"/>
    </row>
    <row r="39" spans="2:9" ht="15.75" x14ac:dyDescent="0.25">
      <c r="B39" s="14" t="s">
        <v>85</v>
      </c>
      <c r="C39" s="3"/>
      <c r="D39" s="3"/>
      <c r="E39" s="3"/>
      <c r="F39" s="14" t="s">
        <v>84</v>
      </c>
      <c r="G39" s="3"/>
      <c r="H39" s="3"/>
      <c r="I39" s="13"/>
    </row>
    <row r="40" spans="2:9" ht="15.75" x14ac:dyDescent="0.25">
      <c r="B40" s="14"/>
      <c r="C40" s="3"/>
      <c r="D40" s="3"/>
      <c r="E40" s="3"/>
      <c r="F40" s="14" t="s">
        <v>85</v>
      </c>
      <c r="G40" s="3"/>
      <c r="H40" s="3"/>
      <c r="I40" s="13"/>
    </row>
    <row r="41" spans="2:9" ht="15.75" x14ac:dyDescent="0.25">
      <c r="B41" s="14"/>
      <c r="C41" s="3"/>
      <c r="D41" s="3"/>
      <c r="E41" s="3"/>
      <c r="F41" s="14"/>
      <c r="G41" s="3"/>
      <c r="H41" s="3"/>
      <c r="I41" s="13"/>
    </row>
    <row r="42" spans="2:9" ht="15.75" x14ac:dyDescent="0.25">
      <c r="B42" s="14"/>
      <c r="C42" s="3"/>
      <c r="D42" s="3"/>
      <c r="E42" s="3"/>
      <c r="F42" s="14"/>
      <c r="G42" s="3"/>
      <c r="H42" s="3"/>
      <c r="I42" s="13"/>
    </row>
    <row r="43" spans="2:9" ht="15.75" x14ac:dyDescent="0.25">
      <c r="B43" s="100" t="s">
        <v>86</v>
      </c>
      <c r="C43" s="101"/>
      <c r="D43" s="101"/>
      <c r="E43" s="101"/>
      <c r="F43" s="100" t="s">
        <v>86</v>
      </c>
      <c r="G43" s="101"/>
      <c r="H43" s="101"/>
      <c r="I43" s="129"/>
    </row>
    <row r="44" spans="2:9" ht="15.75" x14ac:dyDescent="0.25">
      <c r="B44" s="95" t="s">
        <v>87</v>
      </c>
      <c r="C44" s="96"/>
      <c r="D44" s="96"/>
      <c r="E44" s="96"/>
      <c r="F44" s="95" t="s">
        <v>87</v>
      </c>
      <c r="G44" s="96"/>
      <c r="H44" s="96"/>
      <c r="I44" s="140"/>
    </row>
    <row r="45" spans="2:9" ht="15.75" customHeight="1" x14ac:dyDescent="0.25">
      <c r="B45" s="49"/>
      <c r="C45" s="50"/>
      <c r="D45" s="50"/>
      <c r="E45" s="50"/>
      <c r="F45" s="136" t="s">
        <v>99</v>
      </c>
      <c r="G45" s="137"/>
      <c r="H45" s="137"/>
      <c r="I45" s="138"/>
    </row>
    <row r="46" spans="2:9" ht="15.75" x14ac:dyDescent="0.25">
      <c r="B46" s="20"/>
      <c r="C46" s="21"/>
      <c r="D46" s="21"/>
      <c r="E46" s="21"/>
      <c r="F46" s="139"/>
      <c r="G46" s="132"/>
      <c r="H46" s="132"/>
      <c r="I46" s="133"/>
    </row>
    <row r="47" spans="2:9" ht="15.75" x14ac:dyDescent="0.25">
      <c r="B47" s="20"/>
      <c r="C47" s="21"/>
      <c r="D47" s="21"/>
      <c r="E47" s="21"/>
      <c r="F47" s="139"/>
      <c r="G47" s="132"/>
      <c r="H47" s="132"/>
      <c r="I47" s="133"/>
    </row>
    <row r="48" spans="2:9" ht="15.75" x14ac:dyDescent="0.25">
      <c r="B48" s="20"/>
      <c r="C48" s="21"/>
      <c r="D48" s="21"/>
      <c r="E48" s="21"/>
      <c r="F48" s="139"/>
      <c r="G48" s="132"/>
      <c r="H48" s="132"/>
      <c r="I48" s="133"/>
    </row>
    <row r="49" spans="2:10" ht="15.75" x14ac:dyDescent="0.25">
      <c r="B49" s="20"/>
      <c r="C49" s="21"/>
      <c r="D49" s="21"/>
      <c r="E49" s="21"/>
      <c r="F49" s="52"/>
      <c r="G49" s="57"/>
      <c r="H49" s="57"/>
      <c r="I49" s="53"/>
    </row>
    <row r="50" spans="2:10" ht="15.75" x14ac:dyDescent="0.25">
      <c r="B50" s="20"/>
      <c r="C50" s="21"/>
      <c r="D50" s="21"/>
      <c r="E50" s="21"/>
      <c r="F50" s="20"/>
      <c r="G50" s="21"/>
      <c r="H50" s="56" t="s">
        <v>100</v>
      </c>
      <c r="I50" s="55" t="str">
        <f>Sheet1!I56</f>
        <v>29 April 2025</v>
      </c>
    </row>
    <row r="51" spans="2:10" ht="15.75" x14ac:dyDescent="0.25">
      <c r="B51" s="20"/>
      <c r="C51" s="21"/>
      <c r="D51" s="21"/>
      <c r="E51" s="21"/>
      <c r="F51" s="20"/>
      <c r="G51" s="21"/>
      <c r="H51" s="21"/>
      <c r="I51" s="22"/>
    </row>
    <row r="52" spans="2:10" ht="15.75" x14ac:dyDescent="0.25">
      <c r="B52" s="20"/>
      <c r="C52" s="21"/>
      <c r="D52" s="21"/>
      <c r="E52" s="21"/>
      <c r="F52" s="42" t="s">
        <v>34</v>
      </c>
      <c r="G52" s="21"/>
      <c r="H52" s="21"/>
      <c r="I52" s="22"/>
    </row>
    <row r="53" spans="2:10" ht="15.75" x14ac:dyDescent="0.25">
      <c r="B53" s="20"/>
      <c r="C53" s="21"/>
      <c r="D53" s="21"/>
      <c r="E53" s="21"/>
      <c r="F53" s="20"/>
      <c r="G53" s="21"/>
      <c r="H53" s="21"/>
      <c r="I53" s="22"/>
    </row>
    <row r="54" spans="2:10" ht="15.75" x14ac:dyDescent="0.25">
      <c r="B54" s="20"/>
      <c r="C54" s="21"/>
      <c r="D54" s="21"/>
      <c r="E54" s="21"/>
      <c r="F54" s="20"/>
      <c r="G54" s="21"/>
      <c r="H54" s="21"/>
      <c r="I54" s="22"/>
    </row>
    <row r="55" spans="2:10" ht="15.75" x14ac:dyDescent="0.25">
      <c r="B55" s="20"/>
      <c r="C55" s="21"/>
      <c r="D55" s="21"/>
      <c r="E55" s="21"/>
      <c r="F55" s="20"/>
      <c r="G55" s="21"/>
      <c r="H55" s="21"/>
      <c r="I55" s="22"/>
    </row>
    <row r="56" spans="2:10" ht="15.75" x14ac:dyDescent="0.25">
      <c r="B56" s="20"/>
      <c r="C56" s="21"/>
      <c r="D56" s="21"/>
      <c r="E56" s="21"/>
      <c r="F56" s="51" t="str">
        <f>Sheet1!F62</f>
        <v>Priyantono, S.Pd., M.Pd.</v>
      </c>
      <c r="G56" s="21"/>
      <c r="H56" s="21"/>
      <c r="I56" s="22"/>
    </row>
    <row r="57" spans="2:10" ht="15.75" x14ac:dyDescent="0.25">
      <c r="B57" s="8"/>
      <c r="C57" s="9"/>
      <c r="D57" s="9"/>
      <c r="E57" s="9"/>
      <c r="F57" s="42" t="str">
        <f>Sheet1!F63</f>
        <v>NIP. 196902251994031005</v>
      </c>
      <c r="G57" s="9"/>
      <c r="H57" s="9"/>
      <c r="I57" s="10"/>
    </row>
    <row r="58" spans="2:10" ht="15.75" x14ac:dyDescent="0.25">
      <c r="B58" s="23" t="s">
        <v>101</v>
      </c>
      <c r="C58" s="24"/>
      <c r="D58" s="24"/>
      <c r="E58" s="24"/>
      <c r="F58" s="23"/>
      <c r="G58" s="24"/>
      <c r="H58" s="24"/>
      <c r="I58" s="25"/>
    </row>
    <row r="59" spans="2:10" ht="15.75" x14ac:dyDescent="0.25">
      <c r="B59" s="3" t="s">
        <v>102</v>
      </c>
      <c r="C59" s="3"/>
      <c r="D59" s="3"/>
      <c r="E59" s="3"/>
      <c r="F59" s="3"/>
      <c r="G59" s="3"/>
      <c r="H59" s="3"/>
      <c r="I59" s="3"/>
    </row>
    <row r="60" spans="2:10" ht="15" customHeight="1" x14ac:dyDescent="0.25">
      <c r="B60" s="132" t="s">
        <v>92</v>
      </c>
      <c r="C60" s="132"/>
      <c r="D60" s="132"/>
      <c r="E60" s="132"/>
      <c r="F60" s="132"/>
      <c r="G60" s="132"/>
      <c r="H60" s="132"/>
      <c r="I60" s="132"/>
      <c r="J60" s="26"/>
    </row>
    <row r="61" spans="2:10" ht="50.25" customHeight="1" x14ac:dyDescent="0.25">
      <c r="B61" s="132"/>
      <c r="C61" s="132"/>
      <c r="D61" s="132"/>
      <c r="E61" s="132"/>
      <c r="F61" s="132"/>
      <c r="G61" s="132"/>
      <c r="H61" s="132"/>
      <c r="I61" s="132"/>
      <c r="J61" s="26"/>
    </row>
  </sheetData>
  <mergeCells count="24">
    <mergeCell ref="G3:I3"/>
    <mergeCell ref="B60:I61"/>
    <mergeCell ref="F45:I48"/>
    <mergeCell ref="B35:E35"/>
    <mergeCell ref="B36:E36"/>
    <mergeCell ref="F35:I35"/>
    <mergeCell ref="F36:I36"/>
    <mergeCell ref="B43:E43"/>
    <mergeCell ref="B44:E44"/>
    <mergeCell ref="F43:I43"/>
    <mergeCell ref="F44:I44"/>
    <mergeCell ref="H4:I4"/>
    <mergeCell ref="B28:E28"/>
    <mergeCell ref="F27:I27"/>
    <mergeCell ref="F28:I28"/>
    <mergeCell ref="B19:E19"/>
    <mergeCell ref="B20:E20"/>
    <mergeCell ref="F19:I19"/>
    <mergeCell ref="F20:I20"/>
    <mergeCell ref="B27:E27"/>
    <mergeCell ref="C13:E13"/>
    <mergeCell ref="H13:I13"/>
    <mergeCell ref="G14:I14"/>
    <mergeCell ref="C14:E14"/>
  </mergeCells>
  <printOptions horizontalCentered="1"/>
  <pageMargins left="0.19685039370078741" right="0.19685039370078741" top="0.19685039370078741" bottom="0.19685039370078741" header="0.19685039370078741" footer="0.19685039370078741"/>
  <pageSetup paperSize="5" scale="9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1D88C-61F5-4480-BD46-9F2402BE5906}">
  <dimension ref="B1:J70"/>
  <sheetViews>
    <sheetView tabSelected="1" view="pageBreakPreview" topLeftCell="A28" zoomScale="70" zoomScaleNormal="100" zoomScaleSheetLayoutView="70" workbookViewId="0">
      <selection activeCell="N63" sqref="N63"/>
    </sheetView>
  </sheetViews>
  <sheetFormatPr defaultRowHeight="15" x14ac:dyDescent="0.25"/>
  <cols>
    <col min="2" max="2" width="18.85546875" customWidth="1"/>
    <col min="3" max="3" width="1.5703125" customWidth="1"/>
    <col min="4" max="4" width="7" customWidth="1"/>
    <col min="5" max="5" width="17" customWidth="1"/>
    <col min="6" max="8" width="9.7109375" customWidth="1"/>
    <col min="9" max="9" width="16.7109375" customWidth="1"/>
  </cols>
  <sheetData>
    <row r="1" spans="2:10" ht="15.75" x14ac:dyDescent="0.25">
      <c r="B1" s="114" t="s">
        <v>98</v>
      </c>
      <c r="C1" s="114"/>
      <c r="D1" s="114"/>
      <c r="E1" s="114"/>
      <c r="F1" s="114"/>
      <c r="G1" s="114"/>
      <c r="H1" s="114"/>
      <c r="I1" s="114"/>
    </row>
    <row r="2" spans="2:10" ht="15.75" x14ac:dyDescent="0.25">
      <c r="B2" s="3"/>
      <c r="C2" s="3"/>
      <c r="D2" s="3"/>
      <c r="E2" s="3"/>
      <c r="F2" s="3"/>
      <c r="G2" s="3"/>
      <c r="H2" s="3"/>
      <c r="I2" s="3"/>
    </row>
    <row r="3" spans="2:10" ht="15.75" x14ac:dyDescent="0.25">
      <c r="B3" s="3" t="s">
        <v>104</v>
      </c>
      <c r="C3" s="21" t="s">
        <v>26</v>
      </c>
      <c r="D3" s="3" t="str">
        <f>Sheet1!C52</f>
        <v>Rabu, 30 April 2025</v>
      </c>
      <c r="E3" s="3"/>
      <c r="G3" s="3"/>
      <c r="H3" s="3"/>
      <c r="I3" s="3"/>
    </row>
    <row r="4" spans="2:10" ht="15.75" x14ac:dyDescent="0.25">
      <c r="B4" s="3" t="s">
        <v>93</v>
      </c>
      <c r="C4" s="21" t="s">
        <v>26</v>
      </c>
      <c r="D4" s="3" t="str">
        <f>Sheet1!C51</f>
        <v>Kembang Langit, Kab. Batang</v>
      </c>
      <c r="E4" s="3"/>
      <c r="F4" s="3"/>
      <c r="G4" s="3"/>
      <c r="H4" s="3"/>
      <c r="I4" s="3"/>
    </row>
    <row r="5" spans="2:10" ht="15.75" x14ac:dyDescent="0.25">
      <c r="B5" s="3" t="s">
        <v>94</v>
      </c>
      <c r="C5" s="21" t="s">
        <v>26</v>
      </c>
      <c r="D5" s="3" t="str">
        <f>Sheet1!C53</f>
        <v>Pukul 07.00 WIB - selesai</v>
      </c>
      <c r="E5" s="3"/>
      <c r="F5" s="3"/>
      <c r="G5" s="3"/>
      <c r="H5" s="3"/>
      <c r="I5" s="3"/>
    </row>
    <row r="6" spans="2:10" ht="15.75" x14ac:dyDescent="0.25">
      <c r="B6" s="3" t="s">
        <v>95</v>
      </c>
      <c r="C6" s="21" t="s">
        <v>26</v>
      </c>
      <c r="D6" s="132" t="str">
        <f>Sheet1!_Hlk173475416</f>
        <v>Melaksanakan Praktik Baik (Outing Class)</v>
      </c>
      <c r="E6" s="132"/>
      <c r="F6" s="132"/>
      <c r="G6" s="132"/>
      <c r="H6" s="132"/>
      <c r="I6" s="132"/>
    </row>
    <row r="7" spans="2:10" ht="15.75" x14ac:dyDescent="0.25">
      <c r="B7" s="3"/>
      <c r="C7" s="21"/>
      <c r="D7" s="132"/>
      <c r="E7" s="132"/>
      <c r="F7" s="132"/>
      <c r="G7" s="132"/>
      <c r="H7" s="132"/>
      <c r="I7" s="132"/>
    </row>
    <row r="8" spans="2:10" ht="15.75" x14ac:dyDescent="0.25">
      <c r="B8" s="3" t="s">
        <v>96</v>
      </c>
      <c r="C8" s="21" t="s">
        <v>26</v>
      </c>
      <c r="D8" s="3"/>
      <c r="E8" s="3"/>
      <c r="F8" s="3"/>
      <c r="G8" s="3"/>
      <c r="H8" s="3"/>
      <c r="I8" s="3"/>
    </row>
    <row r="9" spans="2:10" ht="15.75" x14ac:dyDescent="0.25">
      <c r="B9" s="3"/>
      <c r="C9" s="3"/>
      <c r="D9" s="3"/>
      <c r="E9" s="3"/>
      <c r="F9" s="3"/>
      <c r="G9" s="3"/>
      <c r="H9" s="3"/>
      <c r="I9" s="3"/>
    </row>
    <row r="10" spans="2:10" ht="15.75" x14ac:dyDescent="0.25">
      <c r="B10" s="3" t="s">
        <v>106</v>
      </c>
      <c r="C10" s="3"/>
      <c r="D10" s="3"/>
      <c r="E10" s="3"/>
      <c r="F10" s="3"/>
      <c r="G10" s="3"/>
      <c r="H10" s="3"/>
      <c r="I10" s="3"/>
    </row>
    <row r="11" spans="2:10" ht="15.75" x14ac:dyDescent="0.25">
      <c r="B11" s="3" t="s">
        <v>106</v>
      </c>
      <c r="C11" s="3"/>
      <c r="D11" s="3"/>
      <c r="E11" s="3"/>
      <c r="F11" s="3"/>
      <c r="G11" s="3"/>
      <c r="H11" s="3"/>
      <c r="I11" s="3"/>
    </row>
    <row r="12" spans="2:10" ht="15.75" x14ac:dyDescent="0.25">
      <c r="B12" s="3" t="s">
        <v>106</v>
      </c>
      <c r="C12" s="3"/>
      <c r="D12" s="3"/>
      <c r="E12" s="3"/>
      <c r="F12" s="3"/>
      <c r="G12" s="3"/>
      <c r="H12" s="3"/>
      <c r="I12" s="3"/>
      <c r="J12" s="7"/>
    </row>
    <row r="13" spans="2:10" ht="15.75" x14ac:dyDescent="0.25">
      <c r="B13" s="3" t="s">
        <v>106</v>
      </c>
      <c r="C13" s="3"/>
      <c r="D13" s="3"/>
      <c r="E13" s="3"/>
      <c r="F13" s="3"/>
      <c r="G13" s="3"/>
      <c r="H13" s="3"/>
      <c r="I13" s="3"/>
      <c r="J13" s="7"/>
    </row>
    <row r="14" spans="2:10" ht="15.75" x14ac:dyDescent="0.25">
      <c r="B14" s="3" t="s">
        <v>106</v>
      </c>
      <c r="C14" s="3"/>
      <c r="D14" s="3"/>
      <c r="E14" s="3"/>
      <c r="F14" s="3"/>
      <c r="G14" s="3"/>
      <c r="H14" s="3"/>
      <c r="I14" s="3"/>
      <c r="J14" s="7"/>
    </row>
    <row r="15" spans="2:10" ht="15.75" x14ac:dyDescent="0.25">
      <c r="B15" s="3" t="s">
        <v>106</v>
      </c>
      <c r="C15" s="3"/>
      <c r="D15" s="3"/>
      <c r="E15" s="3"/>
      <c r="F15" s="3"/>
      <c r="G15" s="3"/>
      <c r="H15" s="3"/>
      <c r="I15" s="3"/>
      <c r="J15" s="7"/>
    </row>
    <row r="16" spans="2:10" ht="15.75" x14ac:dyDescent="0.25">
      <c r="B16" s="3" t="s">
        <v>106</v>
      </c>
      <c r="C16" s="3"/>
      <c r="D16" s="3"/>
      <c r="E16" s="3"/>
      <c r="F16" s="3"/>
      <c r="G16" s="3"/>
      <c r="H16" s="3"/>
      <c r="I16" s="3"/>
      <c r="J16" s="7"/>
    </row>
    <row r="17" spans="2:10" ht="15.75" x14ac:dyDescent="0.25">
      <c r="B17" s="3" t="s">
        <v>106</v>
      </c>
      <c r="C17" s="3"/>
      <c r="D17" s="3"/>
      <c r="E17" s="3"/>
      <c r="F17" s="3"/>
      <c r="G17" s="3"/>
      <c r="H17" s="3"/>
      <c r="I17" s="3"/>
      <c r="J17" s="7"/>
    </row>
    <row r="18" spans="2:10" ht="15.75" x14ac:dyDescent="0.25">
      <c r="B18" s="3" t="s">
        <v>106</v>
      </c>
      <c r="C18" s="3"/>
      <c r="D18" s="3"/>
      <c r="E18" s="3"/>
      <c r="F18" s="3"/>
      <c r="G18" s="3"/>
      <c r="H18" s="3"/>
      <c r="I18" s="3"/>
      <c r="J18" s="7"/>
    </row>
    <row r="19" spans="2:10" ht="15.75" x14ac:dyDescent="0.25">
      <c r="B19" s="3" t="s">
        <v>106</v>
      </c>
      <c r="C19" s="3"/>
      <c r="D19" s="3"/>
      <c r="E19" s="3"/>
      <c r="F19" s="3"/>
      <c r="G19" s="3"/>
      <c r="H19" s="3"/>
      <c r="I19" s="3"/>
      <c r="J19" s="7"/>
    </row>
    <row r="20" spans="2:10" ht="15.75" x14ac:dyDescent="0.25">
      <c r="B20" s="3" t="s">
        <v>106</v>
      </c>
      <c r="C20" s="3"/>
      <c r="D20" s="3"/>
      <c r="E20" s="3"/>
      <c r="F20" s="3"/>
      <c r="G20" s="3"/>
      <c r="H20" s="3"/>
      <c r="I20" s="3"/>
      <c r="J20" s="7"/>
    </row>
    <row r="21" spans="2:10" ht="15.75" x14ac:dyDescent="0.25">
      <c r="B21" s="3" t="s">
        <v>106</v>
      </c>
      <c r="C21" s="3"/>
      <c r="D21" s="3"/>
      <c r="E21" s="3"/>
      <c r="F21" s="3"/>
      <c r="G21" s="3"/>
      <c r="H21" s="3"/>
      <c r="I21" s="3"/>
      <c r="J21" s="7"/>
    </row>
    <row r="22" spans="2:10" ht="15.75" x14ac:dyDescent="0.25">
      <c r="B22" s="3" t="s">
        <v>106</v>
      </c>
      <c r="C22" s="3"/>
      <c r="D22" s="3"/>
      <c r="E22" s="3"/>
      <c r="F22" s="3"/>
      <c r="G22" s="3"/>
      <c r="H22" s="3"/>
      <c r="I22" s="3"/>
      <c r="J22" s="7"/>
    </row>
    <row r="23" spans="2:10" ht="15.75" x14ac:dyDescent="0.25">
      <c r="B23" s="3"/>
      <c r="C23" s="3"/>
      <c r="D23" s="3"/>
      <c r="E23" s="3"/>
      <c r="F23" s="3"/>
      <c r="G23" s="3"/>
      <c r="H23" s="3"/>
      <c r="I23" s="3"/>
    </row>
    <row r="24" spans="2:10" ht="15.75" x14ac:dyDescent="0.25">
      <c r="B24" s="3" t="s">
        <v>97</v>
      </c>
      <c r="C24" s="21" t="s">
        <v>26</v>
      </c>
      <c r="D24" s="3"/>
      <c r="E24" s="3"/>
      <c r="F24" s="3"/>
      <c r="G24" s="3"/>
      <c r="H24" s="3"/>
      <c r="I24" s="3"/>
    </row>
    <row r="25" spans="2:10" ht="15.75" x14ac:dyDescent="0.25">
      <c r="B25" s="3"/>
      <c r="C25" s="3"/>
      <c r="D25" s="3"/>
      <c r="E25" s="3"/>
      <c r="F25" s="3"/>
      <c r="G25" s="3"/>
      <c r="H25" s="3"/>
      <c r="I25" s="3"/>
    </row>
    <row r="26" spans="2:10" ht="15.75" x14ac:dyDescent="0.25">
      <c r="B26" s="19"/>
      <c r="C26" s="11"/>
      <c r="D26" s="11"/>
      <c r="E26" s="12"/>
      <c r="F26" s="19"/>
      <c r="G26" s="11"/>
      <c r="H26" s="11"/>
      <c r="I26" s="12"/>
    </row>
    <row r="27" spans="2:10" ht="15.75" x14ac:dyDescent="0.25">
      <c r="B27" s="14"/>
      <c r="C27" s="3"/>
      <c r="D27" s="3"/>
      <c r="E27" s="13"/>
      <c r="F27" s="14"/>
      <c r="G27" s="3"/>
      <c r="H27" s="3"/>
      <c r="I27" s="13"/>
    </row>
    <row r="28" spans="2:10" ht="15.75" x14ac:dyDescent="0.25">
      <c r="B28" s="14"/>
      <c r="C28" s="3"/>
      <c r="D28" s="3"/>
      <c r="E28" s="13"/>
      <c r="F28" s="14"/>
      <c r="G28" s="3"/>
      <c r="H28" s="3"/>
      <c r="I28" s="13"/>
    </row>
    <row r="29" spans="2:10" ht="15.75" x14ac:dyDescent="0.25">
      <c r="B29" s="14"/>
      <c r="C29" s="3"/>
      <c r="D29" s="3"/>
      <c r="E29" s="13"/>
      <c r="F29" s="14"/>
      <c r="G29" s="3"/>
      <c r="H29" s="3"/>
      <c r="I29" s="13"/>
    </row>
    <row r="30" spans="2:10" ht="15.75" x14ac:dyDescent="0.25">
      <c r="B30" s="14"/>
      <c r="C30" s="3"/>
      <c r="D30" s="3"/>
      <c r="E30" s="13"/>
      <c r="F30" s="14"/>
      <c r="G30" s="3"/>
      <c r="H30" s="3"/>
      <c r="I30" s="13"/>
    </row>
    <row r="31" spans="2:10" ht="15.75" x14ac:dyDescent="0.25">
      <c r="B31" s="14"/>
      <c r="C31" s="3"/>
      <c r="D31" s="3"/>
      <c r="E31" s="13"/>
      <c r="F31" s="14"/>
      <c r="G31" s="3"/>
      <c r="H31" s="3"/>
      <c r="I31" s="13"/>
    </row>
    <row r="32" spans="2:10" ht="15.75" x14ac:dyDescent="0.25">
      <c r="B32" s="14"/>
      <c r="C32" s="3"/>
      <c r="D32" s="3"/>
      <c r="E32" s="13"/>
      <c r="F32" s="14"/>
      <c r="G32" s="3"/>
      <c r="H32" s="3"/>
      <c r="I32" s="13"/>
    </row>
    <row r="33" spans="2:9" ht="15.75" x14ac:dyDescent="0.25">
      <c r="B33" s="14"/>
      <c r="C33" s="3"/>
      <c r="D33" s="3"/>
      <c r="E33" s="13"/>
      <c r="F33" s="14"/>
      <c r="G33" s="3"/>
      <c r="H33" s="3"/>
      <c r="I33" s="13"/>
    </row>
    <row r="34" spans="2:9" ht="15.75" x14ac:dyDescent="0.25">
      <c r="B34" s="15"/>
      <c r="C34" s="16"/>
      <c r="D34" s="16"/>
      <c r="E34" s="17"/>
      <c r="F34" s="15"/>
      <c r="G34" s="16"/>
      <c r="H34" s="16"/>
      <c r="I34" s="17"/>
    </row>
    <row r="35" spans="2:9" ht="15.75" x14ac:dyDescent="0.25">
      <c r="B35" s="3"/>
      <c r="C35" s="3"/>
      <c r="D35" s="3"/>
      <c r="E35" s="3"/>
      <c r="F35" s="3"/>
      <c r="G35" s="3"/>
      <c r="H35" s="3"/>
      <c r="I35" s="3"/>
    </row>
    <row r="36" spans="2:9" ht="15.75" x14ac:dyDescent="0.25">
      <c r="B36" s="3" t="s">
        <v>73</v>
      </c>
      <c r="C36" s="3"/>
      <c r="D36" s="3"/>
      <c r="E36" s="3"/>
      <c r="G36" s="3" t="s">
        <v>73</v>
      </c>
      <c r="H36" s="3"/>
      <c r="I36" s="3"/>
    </row>
    <row r="37" spans="2:9" ht="15.75" x14ac:dyDescent="0.25">
      <c r="B37" s="3"/>
      <c r="C37" s="3"/>
      <c r="D37" s="3"/>
      <c r="E37" s="3"/>
      <c r="G37" s="3"/>
      <c r="H37" s="3"/>
      <c r="I37" s="3"/>
    </row>
    <row r="38" spans="2:9" ht="15.75" x14ac:dyDescent="0.25">
      <c r="B38" s="3"/>
      <c r="C38" s="3"/>
      <c r="D38" s="3"/>
      <c r="E38" s="3"/>
      <c r="G38" s="3"/>
      <c r="H38" s="3"/>
      <c r="I38" s="3"/>
    </row>
    <row r="39" spans="2:9" ht="15.75" x14ac:dyDescent="0.25">
      <c r="B39" s="3"/>
      <c r="C39" s="3"/>
      <c r="D39" s="3"/>
      <c r="E39" s="3"/>
      <c r="G39" s="3"/>
      <c r="H39" s="3"/>
      <c r="I39" s="3"/>
    </row>
    <row r="40" spans="2:9" ht="15.75" x14ac:dyDescent="0.25">
      <c r="B40" s="3" t="str">
        <f>Sheet2!B76</f>
        <v>Supriyono, S.Pd.</v>
      </c>
      <c r="C40" s="3"/>
      <c r="D40" s="3"/>
      <c r="E40" s="3"/>
      <c r="G40" s="3" t="str">
        <f>Sheet2!I76</f>
        <v>Malihatun Ni'mah, S.Si.</v>
      </c>
      <c r="H40" s="3"/>
      <c r="I40" s="3"/>
    </row>
    <row r="41" spans="2:9" ht="15.75" x14ac:dyDescent="0.25">
      <c r="B41" s="3" t="str">
        <f>Sheet2!C77</f>
        <v>196808212006041008</v>
      </c>
      <c r="C41" s="3"/>
      <c r="D41" s="3"/>
      <c r="E41" s="3"/>
      <c r="G41" s="3" t="str">
        <f>Sheet2!J77</f>
        <v>198008142009032003</v>
      </c>
      <c r="H41" s="3"/>
      <c r="I41" s="3"/>
    </row>
    <row r="42" spans="2:9" ht="15.75" x14ac:dyDescent="0.25">
      <c r="B42" s="3"/>
      <c r="C42" s="3"/>
      <c r="D42" s="3"/>
      <c r="E42" s="3"/>
      <c r="G42" s="3"/>
      <c r="H42" s="3"/>
      <c r="I42" s="3"/>
    </row>
    <row r="43" spans="2:9" ht="15.75" x14ac:dyDescent="0.25">
      <c r="B43" s="3" t="s">
        <v>73</v>
      </c>
      <c r="C43" s="3"/>
      <c r="D43" s="3"/>
      <c r="E43" s="3"/>
      <c r="G43" s="3" t="s">
        <v>73</v>
      </c>
      <c r="H43" s="3"/>
      <c r="I43" s="3"/>
    </row>
    <row r="44" spans="2:9" ht="15.75" x14ac:dyDescent="0.25">
      <c r="B44" s="3"/>
      <c r="C44" s="3"/>
      <c r="D44" s="3"/>
      <c r="E44" s="3"/>
      <c r="G44" s="3"/>
      <c r="H44" s="3"/>
      <c r="I44" s="3"/>
    </row>
    <row r="45" spans="2:9" ht="15.75" x14ac:dyDescent="0.25">
      <c r="B45" s="3"/>
      <c r="C45" s="3"/>
      <c r="D45" s="3"/>
      <c r="E45" s="3"/>
      <c r="G45" s="3"/>
      <c r="H45" s="3"/>
      <c r="I45" s="3"/>
    </row>
    <row r="46" spans="2:9" ht="15.75" x14ac:dyDescent="0.25">
      <c r="B46" s="3"/>
      <c r="C46" s="3"/>
      <c r="D46" s="3"/>
      <c r="E46" s="3"/>
      <c r="G46" s="3"/>
      <c r="H46" s="3"/>
      <c r="I46" s="3"/>
    </row>
    <row r="47" spans="2:9" ht="15.75" x14ac:dyDescent="0.25">
      <c r="B47" s="3" t="str">
        <f>Sheet2!B84</f>
        <v>Paulus Mauljono, S.Pd.</v>
      </c>
      <c r="C47" s="3"/>
      <c r="D47" s="3"/>
      <c r="E47" s="3"/>
      <c r="G47" s="3" t="str">
        <f>Sheet2!I84</f>
        <v>Khoirun Ni'am, S.E.</v>
      </c>
      <c r="H47" s="3"/>
      <c r="I47" s="3"/>
    </row>
    <row r="48" spans="2:9" ht="15.75" x14ac:dyDescent="0.25">
      <c r="B48" s="3" t="str">
        <f>Sheet2!C85</f>
        <v>196609271989031007</v>
      </c>
      <c r="C48" s="3"/>
      <c r="D48" s="3"/>
      <c r="E48" s="3"/>
      <c r="G48" s="3" t="str">
        <f>Sheet2!J85</f>
        <v>198402282022211014</v>
      </c>
      <c r="H48" s="3"/>
      <c r="I48" s="3"/>
    </row>
    <row r="49" spans="2:9" ht="15.75" x14ac:dyDescent="0.25">
      <c r="B49" s="3"/>
      <c r="C49" s="3"/>
      <c r="D49" s="3"/>
      <c r="E49" s="3"/>
      <c r="G49" s="3"/>
      <c r="H49" s="3"/>
      <c r="I49" s="3"/>
    </row>
    <row r="50" spans="2:9" ht="15.75" x14ac:dyDescent="0.25">
      <c r="B50" s="3" t="s">
        <v>73</v>
      </c>
      <c r="C50" s="3"/>
      <c r="D50" s="3"/>
      <c r="E50" s="3"/>
      <c r="G50" s="3" t="s">
        <v>73</v>
      </c>
      <c r="H50" s="3"/>
      <c r="I50" s="3"/>
    </row>
    <row r="51" spans="2:9" ht="15.75" x14ac:dyDescent="0.25">
      <c r="B51" s="3"/>
      <c r="C51" s="3"/>
      <c r="D51" s="3"/>
      <c r="E51" s="3"/>
      <c r="G51" s="3"/>
      <c r="H51" s="3"/>
      <c r="I51" s="3"/>
    </row>
    <row r="52" spans="2:9" ht="15.75" x14ac:dyDescent="0.25">
      <c r="B52" s="3"/>
      <c r="C52" s="3"/>
      <c r="D52" s="3"/>
      <c r="E52" s="3"/>
      <c r="G52" s="3"/>
      <c r="H52" s="3"/>
      <c r="I52" s="3"/>
    </row>
    <row r="53" spans="2:9" ht="15.75" x14ac:dyDescent="0.25">
      <c r="B53" s="3"/>
      <c r="C53" s="3"/>
      <c r="D53" s="3"/>
      <c r="E53" s="3"/>
      <c r="G53" s="3"/>
      <c r="H53" s="3"/>
      <c r="I53" s="3"/>
    </row>
    <row r="54" spans="2:9" ht="15.75" x14ac:dyDescent="0.25">
      <c r="B54" s="3" t="str">
        <f>Sheet1!E33</f>
        <v>Dewi Nur Khalimah, S.Pd., M.Pd.</v>
      </c>
      <c r="C54" s="3"/>
      <c r="D54" s="3"/>
      <c r="E54" s="3"/>
      <c r="G54" s="3" t="str">
        <f>Sheet1!E37</f>
        <v>Septia Nurkhalisa, S.Pd.</v>
      </c>
      <c r="H54" s="3"/>
      <c r="I54" s="3"/>
    </row>
    <row r="55" spans="2:9" ht="15.75" x14ac:dyDescent="0.25">
      <c r="B55" s="3" t="str">
        <f>Sheet1!E34</f>
        <v>198711082010012013</v>
      </c>
      <c r="C55" s="3"/>
      <c r="D55" s="3"/>
      <c r="E55" s="3"/>
      <c r="G55" s="3" t="str">
        <f>Sheet1!E38</f>
        <v>199709062020122024</v>
      </c>
      <c r="H55" s="3"/>
      <c r="I55" s="3"/>
    </row>
    <row r="56" spans="2:9" ht="15.75" x14ac:dyDescent="0.25">
      <c r="B56" s="3"/>
      <c r="C56" s="3"/>
      <c r="D56" s="3"/>
      <c r="E56" s="3"/>
      <c r="G56" s="3"/>
      <c r="H56" s="3"/>
      <c r="I56" s="3"/>
    </row>
    <row r="57" spans="2:9" ht="15.75" x14ac:dyDescent="0.25">
      <c r="B57" s="3" t="s">
        <v>73</v>
      </c>
      <c r="C57" s="3"/>
      <c r="D57" s="3"/>
      <c r="E57" s="3"/>
      <c r="G57" s="3" t="s">
        <v>73</v>
      </c>
      <c r="H57" s="3"/>
      <c r="I57" s="3"/>
    </row>
    <row r="58" spans="2:9" ht="15.75" x14ac:dyDescent="0.25">
      <c r="B58" s="3"/>
      <c r="C58" s="3"/>
      <c r="D58" s="3"/>
      <c r="E58" s="3"/>
      <c r="G58" s="3"/>
      <c r="H58" s="3"/>
      <c r="I58" s="3"/>
    </row>
    <row r="59" spans="2:9" ht="15.75" x14ac:dyDescent="0.25">
      <c r="B59" s="3"/>
      <c r="C59" s="3"/>
      <c r="D59" s="3"/>
      <c r="E59" s="3"/>
      <c r="G59" s="3"/>
      <c r="H59" s="3"/>
      <c r="I59" s="3"/>
    </row>
    <row r="60" spans="2:9" ht="15.75" x14ac:dyDescent="0.25">
      <c r="B60" s="3"/>
      <c r="C60" s="3"/>
      <c r="D60" s="3"/>
      <c r="E60" s="3"/>
      <c r="G60" s="3"/>
      <c r="H60" s="3"/>
      <c r="I60" s="3"/>
    </row>
    <row r="61" spans="2:9" ht="15.75" x14ac:dyDescent="0.25">
      <c r="B61" s="3" t="str">
        <f>Sheet2!B100</f>
        <v>Lulu' Aulia, S.Pd.</v>
      </c>
      <c r="C61" s="3"/>
      <c r="D61" s="3"/>
      <c r="E61" s="3"/>
      <c r="G61" s="3" t="str">
        <f>Sheet2!I100</f>
        <v>M. Nailul I'dad Firdaus, S.Pd.</v>
      </c>
      <c r="H61" s="3"/>
      <c r="I61" s="3"/>
    </row>
    <row r="62" spans="2:9" ht="15.75" x14ac:dyDescent="0.25">
      <c r="B62" s="3" t="str">
        <f>Sheet2!C101</f>
        <v>198704072022212005</v>
      </c>
      <c r="C62" s="3"/>
      <c r="D62" s="3"/>
      <c r="E62" s="3"/>
      <c r="G62" s="3" t="str">
        <f>Sheet1!E46</f>
        <v>-</v>
      </c>
      <c r="H62" s="3"/>
      <c r="I62" s="3"/>
    </row>
    <row r="63" spans="2:9" ht="18" customHeight="1" x14ac:dyDescent="0.25">
      <c r="B63" s="3"/>
      <c r="C63" s="3"/>
      <c r="D63" s="3"/>
      <c r="E63" s="3"/>
      <c r="G63" s="3"/>
      <c r="H63" s="3"/>
      <c r="I63" s="3"/>
    </row>
    <row r="64" spans="2:9" ht="15.75" x14ac:dyDescent="0.25">
      <c r="B64" s="101" t="s">
        <v>22</v>
      </c>
      <c r="C64" s="101"/>
      <c r="D64" s="101"/>
      <c r="E64" s="101"/>
      <c r="F64" s="101"/>
      <c r="G64" s="101"/>
      <c r="H64" s="101"/>
      <c r="I64" s="101"/>
    </row>
    <row r="65" spans="2:9" ht="15.75" x14ac:dyDescent="0.25">
      <c r="B65" s="101" t="s">
        <v>23</v>
      </c>
      <c r="C65" s="101"/>
      <c r="D65" s="101"/>
      <c r="E65" s="101"/>
      <c r="F65" s="101"/>
      <c r="G65" s="101"/>
      <c r="H65" s="101"/>
      <c r="I65" s="101"/>
    </row>
    <row r="66" spans="2:9" ht="15.75" x14ac:dyDescent="0.25">
      <c r="D66" s="3"/>
    </row>
    <row r="67" spans="2:9" ht="15.75" x14ac:dyDescent="0.25">
      <c r="D67" s="3"/>
    </row>
    <row r="68" spans="2:9" ht="15.75" x14ac:dyDescent="0.25">
      <c r="D68" s="3"/>
    </row>
    <row r="69" spans="2:9" ht="15.75" x14ac:dyDescent="0.25">
      <c r="B69" s="114" t="str">
        <f>Sheet1!F62</f>
        <v>Priyantono, S.Pd., M.Pd.</v>
      </c>
      <c r="C69" s="114"/>
      <c r="D69" s="114"/>
      <c r="E69" s="114"/>
      <c r="F69" s="114"/>
      <c r="G69" s="114"/>
      <c r="H69" s="114"/>
      <c r="I69" s="114"/>
    </row>
    <row r="70" spans="2:9" ht="15.75" x14ac:dyDescent="0.25">
      <c r="B70" s="101" t="str">
        <f>Sheet1!F63</f>
        <v>NIP. 196902251994031005</v>
      </c>
      <c r="C70" s="101"/>
      <c r="D70" s="101"/>
      <c r="E70" s="101"/>
      <c r="F70" s="101"/>
      <c r="G70" s="101"/>
      <c r="H70" s="101"/>
      <c r="I70" s="101"/>
    </row>
  </sheetData>
  <mergeCells count="6">
    <mergeCell ref="B70:I70"/>
    <mergeCell ref="B1:I1"/>
    <mergeCell ref="D6:I7"/>
    <mergeCell ref="B64:I64"/>
    <mergeCell ref="B65:I65"/>
    <mergeCell ref="B69:I69"/>
  </mergeCells>
  <printOptions horizontalCentered="1"/>
  <pageMargins left="3.937007874015748E-2" right="3.937007874015748E-2" top="3.937007874015748E-2" bottom="3.937007874015748E-2" header="3.937007874015748E-2" footer="3.937007874015748E-2"/>
  <pageSetup paperSize="5" scale="85" orientation="portrait" r:id="rId1"/>
  <rowBreaks count="1" manualBreakCount="1">
    <brk id="70" min="1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Sheet1</vt:lpstr>
      <vt:lpstr>Sheet2</vt:lpstr>
      <vt:lpstr>Sheet3</vt:lpstr>
      <vt:lpstr>Sheet4</vt:lpstr>
      <vt:lpstr>Sheet1!_Hlk173475416</vt:lpstr>
      <vt:lpstr>Sheet1!Print_Area</vt:lpstr>
      <vt:lpstr>Sheet2!Print_Area</vt:lpstr>
      <vt:lpstr>Sheet3!Print_Area</vt:lpstr>
      <vt:lpstr>Sheet4!Print_Area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smpn2karangtengah</dc:creator>
  <cp:lastModifiedBy>s s</cp:lastModifiedBy>
  <cp:lastPrinted>2025-04-29T04:48:35Z</cp:lastPrinted>
  <dcterms:created xsi:type="dcterms:W3CDTF">2015-06-05T18:17:20Z</dcterms:created>
  <dcterms:modified xsi:type="dcterms:W3CDTF">2025-04-29T05:03:10Z</dcterms:modified>
</cp:coreProperties>
</file>